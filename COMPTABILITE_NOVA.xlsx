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utoriel" state="visible" r:id="rId4"/>
    <sheet sheetId="2" name="Tableau de bord" state="visible" r:id="rId5"/>
    <sheet sheetId="3" name="Saisie" state="visible" r:id="rId6"/>
    <sheet sheetId="4" name="Suivi hebdo" state="visible" r:id="rId7"/>
    <sheet sheetId="5" name="Référence T.T.E." state="visible" r:id="rId8"/>
  </sheets>
  <definedNames>
    <definedName name="AnneeComptable">'Tableau de bord'!$C$6</definedName>
  </definedNames>
  <calcPr calcId="171027"/>
</workbook>
</file>

<file path=xl/sharedStrings.xml><?xml version="1.0" encoding="utf-8"?>
<sst xmlns="http://schemas.openxmlformats.org/spreadsheetml/2006/main" count="219" uniqueCount="205">
  <si>
    <t>TUTORIEL — Comptabilité NOVA</t>
  </si>
  <si>
    <t>Mode d'emploi à destination du Trésorier de l'Association NOVA</t>
  </si>
  <si>
    <t>À lire impérativement avant la première saisie. Conforme au T.T.E. — Chapitres IV et VIII.</t>
  </si>
  <si>
    <t>1. À QUOI SERT CE FICHIER ?</t>
  </si>
  <si>
    <t>Ce fichier est l'outil de comptabilité interne de l'Association NOVA. Il sert à :</t>
  </si>
  <si>
    <t>• enregistrer toutes les opérations financières (recettes et dépenses) au fil de l'eau ;</t>
  </si>
  <si>
    <t>• calculer automatiquement le résultat fiscal hebdomadaire (à reporter sur le site IRS chaque Mardi) ;</t>
  </si>
  <si>
    <t>• surveiller le plafond légal de 50 000 $ HORS DONS sur 4 semaines (Art. 8-1.4 T.T.E.) ;</t>
  </si>
  <si>
    <t>• conserver une comptabilité régulière, opposable en cas de contrôle (Art. 4-5.2 T.T.E.).</t>
  </si>
  <si>
    <t>2. LES 4 FEUILLES DU FICHIER</t>
  </si>
  <si>
    <t>Feuille</t>
  </si>
  <si>
    <t>À quoi elle sert</t>
  </si>
  <si>
    <t>Qui la remplit ?</t>
  </si>
  <si>
    <t>Tableau de bord</t>
  </si>
  <si>
    <t>Vue d'ensemble annuelle (KPI, statut plafond)</t>
  </si>
  <si>
    <t>Auto — sélectionne juste l'année</t>
  </si>
  <si>
    <t>Saisie</t>
  </si>
  <si>
    <t>Journal de toutes les opérations de l'année</t>
  </si>
  <si>
    <t>TOI (le Trésorier) — au fil de l'eau</t>
  </si>
  <si>
    <t>Suivi hebdo</t>
  </si>
  <si>
    <t>Récap auto par semaine + calcul fiscal</t>
  </si>
  <si>
    <t>Auto — formules SUMIFS</t>
  </si>
  <si>
    <t>Référence T.T.E.</t>
  </si>
  <si>
    <t>Articles applicables, en consultation</t>
  </si>
  <si>
    <t>Lecture seule</t>
  </si>
  <si>
    <t>3. WORKFLOW HEBDOMADAIRE (À MÉMORISER)</t>
  </si>
  <si>
    <t>Le T.T.E. impose un calendrier strict (Art. 4-3.3 et 4-3.4). Voici le rituel à respecter chaque semaine :</t>
  </si>
  <si>
    <t>LUNDI → DIMANCHE</t>
  </si>
  <si>
    <t>Saisir au fur et à mesure dans la feuille « Saisie » chaque opération de la semaine. Date, type, libellé, montant.</t>
  </si>
  <si>
    <t>DIMANCHE soir</t>
  </si>
  <si>
    <t>Vérification finale : toutes les opérations de la semaine sont-elles saisies ? Toutes les pièces justificatives sont-elles archivées ?</t>
  </si>
  <si>
    <t>LUNDI</t>
  </si>
  <si>
    <t>Le suivi hebdo est figé pour la semaine écoulée. Aller voir la ligne de la semaine (colonne « Sem. »).</t>
  </si>
  <si>
    <t>MARDI avant 21h</t>
  </si>
  <si>
    <t>DÉCLARATION FISCALE sur le site de l'IRS. Reporter : CA hebdo, Résultat imposable, Tranche, Impôt.</t>
  </si>
  <si>
    <t>MERCREDI avant 21h</t>
  </si>
  <si>
    <t>PAIEMENT de l'impôt sur le site de l'IRS. Conserver le justificatif de paiement.</t>
  </si>
  <si>
    <t>Dès Jeudi</t>
  </si>
  <si>
    <t>Saisir les nouvelles opérations de la semaine en cours.</t>
  </si>
  <si>
    <t>4. COMMENT SAISIR UNE OPÉRATION (PAS À PAS)</t>
  </si>
  <si>
    <t>Pour chaque opération financière (recette ou dépense), tu vas dans la feuille « Saisie » et tu remplis une nouvelle ligne :</t>
  </si>
  <si>
    <t>1.</t>
  </si>
  <si>
    <t>Date</t>
  </si>
  <si>
    <t>Date exacte de l'opération (jj/mm/aaaa).</t>
  </si>
  <si>
    <t>—</t>
  </si>
  <si>
    <t>Année</t>
  </si>
  <si>
    <t>AUTO — calculée depuis la Date. Colonne grisée. NE PAS REMPLIR.</t>
  </si>
  <si>
    <t>Semaine</t>
  </si>
  <si>
    <t>AUTO — calculée depuis la Date (semaine ISO 8601, lundi au dimanche). Colonne grisée. NE PAS REMPLIR.</t>
  </si>
  <si>
    <t>2.</t>
  </si>
  <si>
    <t>Type</t>
  </si>
  <si>
    <t>Choisir DANS LA LISTE DÉROULANTE (cf. Section 5 ci-dessous pour le bon choix).</t>
  </si>
  <si>
    <t>3.</t>
  </si>
  <si>
    <t>Catégorie</t>
  </si>
  <si>
    <t>Précision libre (ex. « Avocat », « Restaurant », « Visibilité partenaire »). Aide à filtrer.</t>
  </si>
  <si>
    <t>4.</t>
  </si>
  <si>
    <t>Libellé</t>
  </si>
  <si>
    <t>Description courte et claire (ex. « Honoraires Maître Dupont — rédaction contrats »).</t>
  </si>
  <si>
    <t>5.</t>
  </si>
  <si>
    <t>Montant</t>
  </si>
  <si>
    <t>Montant TTC en dollars. Toujours positif. C'est le « type » qui indique recette ou dépense.</t>
  </si>
  <si>
    <t>5. LES 6 TYPES D'OPÉRATIONS (LE PLUS IMPORTANT)</t>
  </si>
  <si>
    <t>Bien choisir le TYPE est CRITIQUE : c'est ce qui détermine si l'opération est imposable et si elle compte dans le plafond 50k$.</t>
  </si>
  <si>
    <t>Quand l'utiliser</t>
  </si>
  <si>
    <t>Imposable ?</t>
  </si>
  <si>
    <t>Compte plafond 50k$ ?</t>
  </si>
  <si>
    <t>don</t>
  </si>
  <si>
    <t>Apport SANS contrepartie commerciale (numéraire ou nature)</t>
  </si>
  <si>
    <t>NON</t>
  </si>
  <si>
    <t>NON (hors plafond — Art. 8-1.4)</t>
  </si>
  <si>
    <t>subvention</t>
  </si>
  <si>
    <t>Apport public (Gouverneur, État, autre institution)</t>
  </si>
  <si>
    <t>NON (Art. 4-2.16)</t>
  </si>
  <si>
    <t>OUI</t>
  </si>
  <si>
    <t>prestation</t>
  </si>
  <si>
    <t>Partenariat AVEC contrepartie (logo, mention, visibilité)</t>
  </si>
  <si>
    <t>autre</t>
  </si>
  <si>
    <t>Bénéfice direct d'événement (billetterie, vente annexe)</t>
  </si>
  <si>
    <t>OUI (Art. 4-2.2)</t>
  </si>
  <si>
    <t>charge_deductible</t>
  </si>
  <si>
    <t>Dépense admise en déduction (avocat, production, etc.)</t>
  </si>
  <si>
    <t>(réduit le résultat imposable)</t>
  </si>
  <si>
    <t>charge_non_deductible</t>
  </si>
  <si>
    <t>Dépense NON déductible (Art. 4-2.17 obligatoire)</t>
  </si>
  <si>
    <t>(à déclarer mais non déductible)</t>
  </si>
  <si>
    <t>6. LE PLAFOND 50 000 $ — POURQUOI C'EST CRITIQUE</t>
  </si>
  <si>
    <t>L'Article 8-1.4 du T.T.E. dispose qu'au-dessus de 50 000 $ HORS DONS de chiffre généré par la vie associative sur 4 déclarations consécutives, le statut d'association est RETIRÉ.</t>
  </si>
  <si>
    <t>Conséquence concrète : NOVA serait requalifiée en entreprise classique → fin de la souplesse associative, fiscalité d'entreprise pleine.</t>
  </si>
  <si>
    <t>Le « Suivi hebdo » surveille ce plafond automatiquement. La colonne « Statut plafond » affiche :</t>
  </si>
  <si>
    <t>• ✓ OK (vert)  — moins de 80 % du plafond, tout va bien.</t>
  </si>
  <si>
    <t>• ⚠ VIGILANCE (jaune)  — entre 80 % et 100 % du plafond, ralentir les prestations sponsorisées.</t>
  </si>
  <si>
    <t>• ⚠ DÉPASSEMENT (rouge)  — plus de 50k$, alerter le Président IMMÉDIATEMENT et arrêter d'encaisser des prestations cette semaine. Si dépassement 4 semaines de suite : retrait du statut.</t>
  </si>
  <si>
    <t>7. ERREURS À NE JAMAIS COMMETTRE</t>
  </si>
  <si>
    <t>• Oublier une opération : la compta doit être complète. Une opération non saisie = pièce manquante en cas de contrôle.</t>
  </si>
  <si>
    <t>• Confondre « don » et « prestation » : un partenaire qui exige une mention contre son apport = prestation, pas don.</t>
  </si>
  <si>
    <t>• Antidater ou postdater : la date doit refléter la réalité. L'IRS croise avec d'autres sources.</t>
  </si>
  <si>
    <t>• Oublier la section « charges non-déductibles » : sa non-tenue est sanctionnée d'une amende de 4 000 $ (Art. 4-2.17).</t>
  </si>
  <si>
    <t>• Garder le compte en déficit 4 semaines de suite : l'État peut remettre la gérance (Art. 4-5.4).</t>
  </si>
  <si>
    <t>8. EN CAS DE DOUTE</t>
  </si>
  <si>
    <t>• Pour un type d'opération douteux : poser la question au Président avant de saisir.</t>
  </si>
  <si>
    <t>• Pour une question fiscale technique : consulter la feuille « Référence T.T.E. » de ce fichier.</t>
  </si>
  <si>
    <t>• Pour un contrôle IRS : ne jamais répondre seul. Avertir le Président qui activera le protocole de récusation (Art. 18 des statuts).</t>
  </si>
  <si>
    <t>• En cas de soupçon de blanchiment ou d'irrégularité : avertir le Président et le Bureau IMMÉDIATEMENT — délai de réaction : 72 h maximum (Art. 4-5.3).</t>
  </si>
  <si>
    <t>— Fin du tutoriel — Bonne tenue de la comptabilité NOVA. —</t>
  </si>
  <si>
    <t>NOVA</t>
  </si>
  <si>
    <t>Nouvelle Organisation Vie Associative — État de San Andreas</t>
  </si>
  <si>
    <t>Comptabilité associative — Conforme au T.T.E. (Chap. IV &amp; VIII)</t>
  </si>
  <si>
    <t>Année comptable</t>
  </si>
  <si>
    <t>Total dons (annuel)</t>
  </si>
  <si>
    <t>Total subventions</t>
  </si>
  <si>
    <t>Chiffre d'affaires annuel</t>
  </si>
  <si>
    <t>Total dépenses</t>
  </si>
  <si>
    <t>Hors plafond — Art. 8-1.4</t>
  </si>
  <si>
    <t>Non imposables — Art. 4-2.16</t>
  </si>
  <si>
    <t>Prestations + autres entrées</t>
  </si>
  <si>
    <t>Toutes catégories</t>
  </si>
  <si>
    <t>SUIVI DU PLAFOND ASSOCIATIF — Article 8-1.4 du T.T.E.</t>
  </si>
  <si>
    <t>Plafond légal :</t>
  </si>
  <si>
    <t>Cumul max sur 4 semaines (année) :</t>
  </si>
  <si>
    <t>Statut :</t>
  </si>
  <si>
    <t>MODE D'EMPLOI</t>
  </si>
  <si>
    <t>1. Saisir l'année dans la cellule jaune ci-dessus (C6).</t>
  </si>
  <si>
    <t>2. Aller dans la feuille « Saisie » et enregistrer toutes les opérations de la semaine (date, type, catégorie, libellé, montant).</t>
  </si>
  <si>
    <t>3. La feuille « Suivi hebdo » se met à jour automatiquement (formules SUMIFS et calcul fiscal selon les tranches T.T.E.).</t>
  </si>
  <si>
    <t>4. Vérifier la colonne « Statut plafond » : si DÉPASSEMENT pendant 4 semaines consécutives, risque de retrait du statut associatif (Art. 8-1.4).</t>
  </si>
  <si>
    <t>5. Pour chaque déclaration fiscale (Mardi avant 21h sur le site de l'IRS), reporter les valeurs de la ligne « Suivi hebdo » correspondante.</t>
  </si>
  <si>
    <t>6. Conserver toutes les pièces justificatives (Art. 4-5.2). Sanctions sévères en cas de comptabilité irrégulière (jusqu'à saisie 50% du compte sur le gérant).</t>
  </si>
  <si>
    <t>NOVA — Journal des opérations comptables</t>
  </si>
  <si>
    <t>⚠ Saisir UNIQUEMENT les colonnes Date / Type / Catégorie / Libellé / Montant. Les colonnes grisées « Année » et « Semaine » sont calculées automatiquement à partir de la Date — NE PAS LES MODIFIER.</t>
  </si>
  <si>
    <t>NOVA — Suivi comptable hebdomadaire</t>
  </si>
  <si>
    <t>Année :</t>
  </si>
  <si>
    <t>Calculs automatiques basés sur la feuille « Saisie ». Tranches d'imposition selon Art. 4-3.2 du T.T.E.</t>
  </si>
  <si>
    <t>Sem.</t>
  </si>
  <si>
    <t>Dons</t>
  </si>
  <si>
    <t>Subventions</t>
  </si>
  <si>
    <t>Prestations</t>
  </si>
  <si>
    <t>Autres entrées</t>
  </si>
  <si>
    <t>Charges déduct.</t>
  </si>
  <si>
    <t>Charges non-déduct.</t>
  </si>
  <si>
    <t>CA hebdo</t>
  </si>
  <si>
    <t>Résultat impos.</t>
  </si>
  <si>
    <t>Tranche</t>
  </si>
  <si>
    <t>Taux</t>
  </si>
  <si>
    <t>Impôt à payer</t>
  </si>
  <si>
    <t>Hors dons (sem.)</t>
  </si>
  <si>
    <t>Cumul 4 sem.</t>
  </si>
  <si>
    <t>Statut plafond</t>
  </si>
  <si>
    <t>TOTAL</t>
  </si>
  <si>
    <t>Référentiel T.T.E. — Articles applicables à NOVA</t>
  </si>
  <si>
    <t>Code des Taxes, du Travail et des Entreprises — Serveur FlashFA</t>
  </si>
  <si>
    <t>CHAPITRE VIII — ASSOCIATIONS</t>
  </si>
  <si>
    <t>Art. 8-1.1</t>
  </si>
  <si>
    <t>Association = but non lucratif obligatoire. Aucune rémunération possible aux responsables ou membres.</t>
  </si>
  <si>
    <t>Art. 8-1.2</t>
  </si>
  <si>
    <t>Déclaration obligatoire auprès de la Vie Civile + officialisation par le Gouvernement de San Andreas.</t>
  </si>
  <si>
    <t>Art. 8-1.3</t>
  </si>
  <si>
    <t>Déclaration des revenus et mouvements monétaires (mêmes obligations que les entreprises).</t>
  </si>
  <si>
    <t>Art. 8-1.4</t>
  </si>
  <si>
    <t>⚠ PLAFOND : &gt; 50 000 $ HORS DONS sur 4 déclarations consécutives → retrait du statut d'association.</t>
  </si>
  <si>
    <t>Art. 8-1.5</t>
  </si>
  <si>
    <t>Bénévoles = contrat d'engagement associatif obligatoire.</t>
  </si>
  <si>
    <t>Art. 8-1.6</t>
  </si>
  <si>
    <t>Mêmes règles fiscales que les entreprises (Chap. IV).</t>
  </si>
  <si>
    <t>Art. 8-1.7</t>
  </si>
  <si>
    <t>Déductions associatives : 1 garage + 1 stockage 1,5 t (ou bureau) + véhicules à valider IRS.</t>
  </si>
  <si>
    <t>CHAPITRE IV-II — CALCUL DU RÉSULTAT</t>
  </si>
  <si>
    <t>Art. 4-2.1</t>
  </si>
  <si>
    <t>CA hebdomadaire — semaine = Lundi 00h00 → Dimanche 23h59.</t>
  </si>
  <si>
    <t>Art. 4-2.2</t>
  </si>
  <si>
    <t>Autres entrées incluent les bénéfices liés aux évènements (imposables).</t>
  </si>
  <si>
    <t>Art. 4-2.4</t>
  </si>
  <si>
    <t>Résultat imposable = (CA + Autres entrées) − Charges déductibles.</t>
  </si>
  <si>
    <t>Art. 4-2.8</t>
  </si>
  <si>
    <t>Frais avocat déductibles, max 30 000 $.</t>
  </si>
  <si>
    <t>Art. 4-2.10</t>
  </si>
  <si>
    <t>Nourriture employés déductible, max 750 $/employé.</t>
  </si>
  <si>
    <t>Art. 4-2.11</t>
  </si>
  <si>
    <t>Frais immobilier — déductibilité limitée à certains types d'entreprises. Pour NOVA : à valider IRS (Art. 8-1.7). Sinon amende 4 000 $.</t>
  </si>
  <si>
    <t>Art. 4-2.12</t>
  </si>
  <si>
    <t>Frais véhicule — déductibilité limitée. Pour NOVA : à valider IRS. Sinon amende 4 000 $.</t>
  </si>
  <si>
    <t>Art. 4-2.16</t>
  </si>
  <si>
    <t>⭐ SUBVENTIONS NON IMPOSABLES (à exploiter via demande au Gouverneur).</t>
  </si>
  <si>
    <t>Art. 4-2.17</t>
  </si>
  <si>
    <t>Section "Dépenses non-déductibles" obligatoire à remplir. Sinon amende 4 000 $.</t>
  </si>
  <si>
    <t>CHAPITRE IV-III — IMPÔTS</t>
  </si>
  <si>
    <t>Art. 4-3.1</t>
  </si>
  <si>
    <t>Impôts payés chaque semaine sur revenu imposable de la semaine précédente.</t>
  </si>
  <si>
    <t>Art. 4-3.2</t>
  </si>
  <si>
    <t>Tranches : 0% (≤10k$), 10% (10-50k), 19% (50-100k), 28% (100-250k), 36% (250-500k), 46% (&gt;500k).</t>
  </si>
  <si>
    <t>Art. 4-3.3</t>
  </si>
  <si>
    <t>📅 Déclaration : avant Mardi 21h.</t>
  </si>
  <si>
    <t>Art. 4-3.4</t>
  </si>
  <si>
    <t>💰 Paiement : avant Mercredi 21h.</t>
  </si>
  <si>
    <t>CHAPITRE IV-IV — PÉNALITÉS DE RETARD</t>
  </si>
  <si>
    <t>Art. 4-4.1</t>
  </si>
  <si>
    <t>24h retard +10% | 48h +20% | 72h +30% | 96h +40%.</t>
  </si>
  <si>
    <t>CHAPITRE IV-V — SANCTIONS</t>
  </si>
  <si>
    <t>Art. 4-5.1</t>
  </si>
  <si>
    <t>Compta inexistante → fermeture administrative + sanctions gérant/co-gérant.</t>
  </si>
  <si>
    <t>Art. 4-5.2</t>
  </si>
  <si>
    <t>Compta irrégulière, 4 paliers d'amende : 5%, 7%, 10%, fermeture. Saisie commune : 50% gérant + 35% co-gérant + 15% matériel.</t>
  </si>
  <si>
    <t>Art. 4-5.3</t>
  </si>
  <si>
    <t>⚠ Suspicion blanchiment : 72h pour justifier, sinon 45% du compte saisi (65% gérant + 25% co-gérant).</t>
  </si>
  <si>
    <t>Art. 4-5.4</t>
  </si>
  <si>
    <t>4 semaines de résultat déficitaire → l'État peut remettre la gérance.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</si>
</sst>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&quot;$&quot;"/>
    <numFmt numFmtId="165" formatCode="dd/mm/yyyy"/>
  </numFmts>
  <fonts count="36" x14ac:knownFonts="1">
    <font>
      <color theme="1"/>
      <family val="2"/>
      <scheme val="minor"/>
      <sz val="11"/>
      <name val="Calibri"/>
    </font>
    <font>
      <b/>
      <color rgb="FF1F2D4A"/>
      <sz val="24"/>
      <name val="Cambria"/>
    </font>
    <font>
      <i/>
      <color rgb="FF6B6356"/>
      <sz val="11"/>
      <name val="Cambria"/>
    </font>
    <font>
      <i/>
      <color rgb="FF8B7340"/>
      <sz val="10"/>
      <name val="Cambria"/>
    </font>
    <font>
      <b/>
      <color rgb="FFFBF9F3"/>
      <sz val="12"/>
      <name val="Cambria"/>
    </font>
    <font>
      <color rgb="FF3A3A3A"/>
      <sz val="10.5"/>
      <name val="Cambria"/>
    </font>
    <font>
      <b/>
      <color rgb="FFFBF9F3"/>
      <sz val="10"/>
      <name val="Cambria"/>
    </font>
    <font>
      <b/>
      <color rgb="FF1F2D4A"/>
      <sz val="10.5"/>
      <name val="Cambria"/>
    </font>
    <font>
      <color rgb="FF3A3A3A"/>
      <sz val="10"/>
      <name val="Cambria"/>
    </font>
    <font>
      <i/>
      <color rgb="FF6B6356"/>
      <sz val="10"/>
      <name val="Cambria"/>
    </font>
    <font>
      <b/>
      <color rgb="FF1F2D4A"/>
      <sz val="10"/>
      <name val="Cambria"/>
    </font>
    <font>
      <b/>
      <color rgb="FF8B7340"/>
      <sz val="12"/>
      <name val="Cambria"/>
    </font>
    <font>
      <b/>
      <color rgb="FF4A6B3A"/>
      <sz val="10"/>
      <name val="Consolas"/>
    </font>
    <font>
      <b/>
      <color rgb="FF8B7340"/>
      <sz val="10"/>
      <name val="Consolas"/>
    </font>
    <font>
      <b/>
      <color rgb="FF1F2D4A"/>
      <sz val="10"/>
      <name val="Consolas"/>
    </font>
    <font>
      <b/>
      <color rgb="FFB87C00"/>
      <sz val="10"/>
      <name val="Consolas"/>
    </font>
    <font>
      <b/>
      <color rgb="FF8B3A3A"/>
      <sz val="10"/>
      <name val="Consolas"/>
    </font>
    <font>
      <b/>
      <color rgb="FF3A3A3A"/>
      <sz val="10.5"/>
      <name val="Cambria"/>
    </font>
    <font>
      <i/>
      <color rgb="FF8B7340"/>
      <sz val="11"/>
      <name val="Cambria"/>
    </font>
    <font>
      <b/>
      <color rgb="FF1F2D4A"/>
      <sz val="28"/>
      <name val="Cambria"/>
    </font>
    <font>
      <color rgb="FF6B6356"/>
      <sz val="9"/>
      <name val="Cambria"/>
    </font>
    <font>
      <b/>
      <color rgb="FF1F2D4A"/>
      <sz val="11"/>
      <name val="Calibri"/>
    </font>
    <font>
      <b/>
      <color rgb="FF1F2D4A"/>
      <sz val="16"/>
      <name val="Cambria"/>
    </font>
    <font>
      <i/>
      <color rgb="FF6B6356"/>
      <sz val="9"/>
      <name val="Cambria"/>
    </font>
    <font>
      <b/>
      <color rgb="FF8B7340"/>
      <name val="Calibri"/>
    </font>
    <font>
      <b/>
      <color rgb="FF1F2D4A"/>
      <sz val="11"/>
      <name val="Cambria"/>
    </font>
    <font>
      <b/>
      <i/>
      <color rgb="FF8B7340"/>
      <sz val="10"/>
      <name val="Cambria"/>
    </font>
    <font>
      <color rgb="FF1A1A1A"/>
      <sz val="10"/>
      <name val="Calibri"/>
    </font>
    <font>
      <i/>
      <color rgb="FF6B6356"/>
      <sz val="10"/>
      <name val="Calibri"/>
    </font>
    <font>
      <b/>
      <color rgb="FF1F2D4A"/>
      <sz val="12"/>
      <name val="Cambria"/>
    </font>
    <font>
      <b/>
      <color rgb="FF8B7340"/>
      <sz val="10"/>
      <name val="Cambria"/>
    </font>
    <font>
      <color rgb="FF6B6356"/>
      <sz val="10"/>
      <name val="Cambria"/>
    </font>
    <font>
      <b/>
      <color rgb="FF8B3A3A"/>
      <sz val="10"/>
      <name val="Calibri"/>
    </font>
    <font>
      <b/>
      <sz val="10"/>
      <name val="Cambria"/>
    </font>
    <font>
      <b/>
      <color rgb="FFFBF9F3"/>
      <sz val="11"/>
      <name val="Cambria"/>
    </font>
    <font>
      <b/>
      <color rgb="FFFBF9F3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2D4A"/>
      </patternFill>
    </fill>
    <fill>
      <patternFill patternType="solid">
        <fgColor rgb="FFE3EBDC"/>
      </patternFill>
    </fill>
    <fill>
      <patternFill patternType="solid">
        <fgColor rgb="FFF5F1E6"/>
      </patternFill>
    </fill>
    <fill>
      <patternFill patternType="solid">
        <fgColor rgb="FFF8ECC8"/>
      </patternFill>
    </fill>
    <fill>
      <patternFill patternType="solid">
        <fgColor rgb="FFEFE6CF"/>
      </patternFill>
    </fill>
    <fill>
      <patternFill patternType="solid">
        <fgColor rgb="FFF4E0E0"/>
      </patternFill>
    </fill>
    <fill>
      <patternFill patternType="solid">
        <fgColor rgb="FFEFEDE5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8B7340"/>
      </bottom>
      <diagonal/>
    </border>
    <border>
      <left/>
      <right/>
      <top style="medium">
        <color rgb="FF8B7340"/>
      </top>
      <bottom style="medium">
        <color rgb="FF8B7340"/>
      </bottom>
      <diagonal/>
    </border>
    <border>
      <left style="thin">
        <color rgb="FF1F2D4A"/>
      </left>
      <right style="thin">
        <color rgb="FF1F2D4A"/>
      </right>
      <top style="thin">
        <color rgb="FF1F2D4A"/>
      </top>
      <bottom style="thin">
        <color rgb="FF1F2D4A"/>
      </bottom>
      <diagonal/>
    </border>
    <border>
      <left/>
      <right/>
      <top/>
      <bottom style="thin">
        <color rgb="FFD4C8A8"/>
      </bottom>
      <diagonal/>
    </border>
    <border>
      <left style="thin">
        <color rgb="FFD4C8A8"/>
      </left>
      <right style="thin">
        <color rgb="FFD4C8A8"/>
      </right>
      <top style="thin">
        <color rgb="FFD4C8A8"/>
      </top>
      <bottom style="thin">
        <color rgb="FFD4C8A8"/>
      </bottom>
      <diagonal/>
    </border>
    <border>
      <left/>
      <right style="thin">
        <color rgb="FFD4C8A8"/>
      </right>
      <top style="thin">
        <color rgb="FFD4C8A8"/>
      </top>
      <bottom style="thin">
        <color rgb="FFD4C8A8"/>
      </bottom>
      <diagonal/>
    </border>
    <border>
      <left style="thin">
        <color rgb="FFD4C8A8"/>
      </left>
      <right style="thin">
        <color rgb="FFD4C8A8"/>
      </right>
      <top/>
      <bottom style="thin">
        <color rgb="FFD4C8A8"/>
      </bottom>
      <diagonal/>
    </border>
    <border>
      <left/>
      <right style="thin">
        <color rgb="FFD4C8A8"/>
      </right>
      <top/>
      <bottom style="thin">
        <color rgb="FFD4C8A8"/>
      </bottom>
      <diagonal/>
    </border>
    <border>
      <left/>
      <right/>
      <top style="medium">
        <color rgb="FF8B7340"/>
      </top>
      <bottom/>
      <diagonal/>
    </border>
    <border>
      <left style="thin">
        <color rgb="FF8B7340"/>
      </left>
      <right style="thin">
        <color rgb="FF8B7340"/>
      </right>
      <top style="thin">
        <color rgb="FF8B7340"/>
      </top>
      <bottom style="thin">
        <color rgb="FF8B7340"/>
      </bottom>
      <diagonal/>
    </border>
    <border>
      <left style="thick">
        <color rgb="FF8B7340"/>
      </left>
      <right/>
      <top style="thin">
        <color rgb="FFD4C8A8"/>
      </top>
      <bottom style="thin">
        <color rgb="FFD4C8A8"/>
      </bottom>
      <diagonal/>
    </border>
    <border>
      <left style="thick">
        <color rgb="FF8B7340"/>
      </left>
      <right/>
      <top/>
      <bottom/>
      <diagonal/>
    </border>
    <border>
      <left style="thick">
        <color rgb="FF8B7340"/>
      </left>
      <right/>
      <top/>
      <bottom style="thin">
        <color rgb="FFD4C8A8"/>
      </bottom>
      <diagonal/>
    </border>
    <border>
      <left style="medium">
        <color rgb="FF8B7340"/>
      </left>
      <right style="medium">
        <color rgb="FF8B7340"/>
      </right>
      <top style="medium">
        <color rgb="FF8B7340"/>
      </top>
      <bottom style="medium">
        <color rgb="FF8B7340"/>
      </bottom>
      <diagonal/>
    </border>
    <border>
      <left style="thin">
        <color rgb="FF1F2D4A"/>
      </left>
      <right style="thin">
        <color rgb="FF1F2D4A"/>
      </right>
      <top style="medium">
        <color rgb="FF8B7340"/>
      </top>
      <bottom style="medium">
        <color rgb="FF8B734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/>
    <xf numFmtId="0" fontId="4" fillId="2" borderId="2" xfId="0" applyFont="1" applyFill="1" applyBorder="1" applyAlignment="1">
      <alignment horizontal="left" vertical="center" indent="1"/>
    </xf>
    <xf numFmtId="0" fontId="5" fillId="0" borderId="0" xfId="0" applyFont="1" applyAlignment="1">
      <alignment horizontal="left" vertical="top" wrapText="1" indent="1"/>
    </xf>
    <xf numFmtId="0" fontId="6" fillId="2" borderId="3" xfId="0" applyFont="1" applyFill="1" applyBorder="1" applyAlignment="1">
      <alignment horizontal="left" vertical="center" wrapText="1" indent="1"/>
    </xf>
    <xf numFmtId="0" fontId="7" fillId="0" borderId="4" xfId="0" applyFont="1" applyBorder="1" applyAlignment="1">
      <alignment vertical="center" indent="1"/>
    </xf>
    <xf numFmtId="0" fontId="8" fillId="0" borderId="4" xfId="0" applyFont="1" applyBorder="1" applyAlignment="1">
      <alignment vertical="center" wrapText="1" indent="1"/>
    </xf>
    <xf numFmtId="0" fontId="9" fillId="0" borderId="4" xfId="0" applyFont="1" applyBorder="1" applyAlignment="1">
      <alignment vertical="center" wrapText="1" indent="1"/>
    </xf>
    <xf numFmtId="0" fontId="10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vertical="center" wrapText="1" indent="1"/>
    </xf>
    <xf numFmtId="0" fontId="10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vertical="center" wrapText="1" indent="1"/>
    </xf>
    <xf numFmtId="0" fontId="10" fillId="5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vertical="center" wrapText="1" indent="1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vertical="center" indent="1"/>
    </xf>
    <xf numFmtId="0" fontId="8" fillId="0" borderId="0" xfId="0" applyFont="1" applyAlignment="1">
      <alignment vertical="center" wrapText="1" indent="1"/>
    </xf>
    <xf numFmtId="0" fontId="12" fillId="3" borderId="7" xfId="0" applyFont="1" applyFill="1" applyBorder="1" applyAlignment="1">
      <alignment vertical="center" indent="1"/>
    </xf>
    <xf numFmtId="0" fontId="8" fillId="0" borderId="8" xfId="0" applyFont="1" applyBorder="1" applyAlignment="1">
      <alignment vertical="center" wrapText="1" indent="1"/>
    </xf>
    <xf numFmtId="0" fontId="9" fillId="0" borderId="8" xfId="0" applyFont="1" applyBorder="1" applyAlignment="1">
      <alignment horizontal="center" vertical="center" wrapText="1"/>
    </xf>
    <xf numFmtId="0" fontId="13" fillId="6" borderId="7" xfId="0" applyFont="1" applyFill="1" applyBorder="1" applyAlignment="1">
      <alignment vertical="center" indent="1"/>
    </xf>
    <xf numFmtId="0" fontId="14" fillId="4" borderId="7" xfId="0" applyFont="1" applyFill="1" applyBorder="1" applyAlignment="1">
      <alignment vertical="center" indent="1"/>
    </xf>
    <xf numFmtId="0" fontId="15" fillId="5" borderId="7" xfId="0" applyFont="1" applyFill="1" applyBorder="1" applyAlignment="1">
      <alignment vertical="center" indent="1"/>
    </xf>
    <xf numFmtId="0" fontId="16" fillId="7" borderId="7" xfId="0" applyFont="1" applyFill="1" applyBorder="1" applyAlignment="1">
      <alignment vertical="center" indent="1"/>
    </xf>
    <xf numFmtId="0" fontId="17" fillId="7" borderId="0" xfId="0" applyFont="1" applyFill="1" applyAlignment="1">
      <alignment horizontal="left" vertical="top" wrapText="1" indent="1"/>
    </xf>
    <xf numFmtId="0" fontId="5" fillId="3" borderId="0" xfId="0" applyFont="1" applyFill="1" applyAlignment="1">
      <alignment horizontal="left" vertical="top" wrapText="1" indent="1"/>
    </xf>
    <xf numFmtId="0" fontId="5" fillId="5" borderId="0" xfId="0" applyFont="1" applyFill="1" applyAlignment="1">
      <alignment horizontal="left" vertical="top" wrapText="1" indent="1"/>
    </xf>
    <xf numFmtId="0" fontId="5" fillId="7" borderId="0" xfId="0" applyFont="1" applyFill="1" applyAlignment="1">
      <alignment horizontal="left" vertical="top" wrapText="1" indent="1"/>
    </xf>
    <xf numFmtId="0" fontId="18" fillId="0" borderId="9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1" fillId="6" borderId="10" xfId="0" applyFont="1" applyFill="1" applyBorder="1" applyAlignment="1">
      <alignment horizontal="center" vertical="center"/>
    </xf>
    <xf numFmtId="0" fontId="20" fillId="4" borderId="11" xfId="0" applyFont="1" applyFill="1" applyBorder="1" applyAlignment="1">
      <alignment horizontal="left" vertical="center"/>
    </xf>
    <xf numFmtId="164" fontId="22" fillId="4" borderId="12" xfId="0" applyNumberFormat="1" applyFont="1" applyFill="1" applyBorder="1" applyAlignment="1">
      <alignment horizontal="left" vertical="center"/>
    </xf>
    <xf numFmtId="0" fontId="23" fillId="4" borderId="13" xfId="0" applyFont="1" applyFill="1" applyBorder="1" applyAlignment="1">
      <alignment horizontal="left" vertical="center"/>
    </xf>
    <xf numFmtId="164" fontId="24" fillId="0" borderId="7" xfId="0" applyNumberFormat="1" applyFont="1" applyBorder="1" applyAlignment="1">
      <alignment horizontal="right" vertical="center"/>
    </xf>
    <xf numFmtId="164" fontId="21" fillId="4" borderId="7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 indent="1"/>
    </xf>
    <xf numFmtId="0" fontId="22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 wrapText="1" indent="1"/>
    </xf>
    <xf numFmtId="165" fontId="27" fillId="0" borderId="7" xfId="0" applyNumberFormat="1" applyFont="1" applyBorder="1" applyAlignment="1">
      <alignment vertical="center"/>
    </xf>
    <xf numFmtId="0" fontId="28" fillId="8" borderId="7" xfId="0" applyFont="1" applyFill="1" applyBorder="1" applyAlignment="1">
      <alignment horizontal="center" vertical="center"/>
    </xf>
    <xf numFmtId="0" fontId="27" fillId="0" borderId="7" xfId="0" applyFont="1" applyBorder="1" applyAlignment="1">
      <alignment vertical="center"/>
    </xf>
    <xf numFmtId="164" fontId="27" fillId="0" borderId="7" xfId="0" applyNumberFormat="1" applyFont="1" applyBorder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9" fillId="6" borderId="10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30" fillId="0" borderId="7" xfId="0" applyFont="1" applyBorder="1" applyAlignment="1">
      <alignment horizontal="center" vertical="center"/>
    </xf>
    <xf numFmtId="9" fontId="31" fillId="0" borderId="7" xfId="0" applyNumberFormat="1" applyFont="1" applyBorder="1" applyAlignment="1">
      <alignment horizontal="center" vertical="center"/>
    </xf>
    <xf numFmtId="164" fontId="32" fillId="0" borderId="7" xfId="0" applyNumberFormat="1" applyFont="1" applyBorder="1" applyAlignment="1">
      <alignment horizontal="right" vertical="center"/>
    </xf>
    <xf numFmtId="0" fontId="33" fillId="0" borderId="7" xfId="0" applyFont="1" applyBorder="1" applyAlignment="1">
      <alignment horizontal="center" vertical="center"/>
    </xf>
    <xf numFmtId="0" fontId="34" fillId="2" borderId="14" xfId="0" applyFont="1" applyFill="1" applyBorder="1" applyAlignment="1">
      <alignment horizontal="center" vertical="center"/>
    </xf>
    <xf numFmtId="164" fontId="35" fillId="2" borderId="15" xfId="0" applyNumberFormat="1" applyFont="1" applyFill="1" applyBorder="1" applyAlignment="1">
      <alignment horizontal="right" vertical="center"/>
    </xf>
    <xf numFmtId="0" fontId="30" fillId="0" borderId="7" xfId="0" applyFont="1" applyBorder="1" applyAlignment="1">
      <alignment horizontal="left" vertical="top" indent="1"/>
    </xf>
    <xf numFmtId="0" fontId="8" fillId="0" borderId="8" xfId="0" applyFont="1" applyBorder="1" applyAlignment="1">
      <alignment horizontal="left" vertical="top" wrapText="1" indent="1"/>
    </xf>
  </cellXfs>
  <cellStyles count="1">
    <cellStyle name="Normal" xfId="0" builtinId="0"/>
  </cellStyles>
  <dxfs count="14">
    <dxf>
      <font>
        <color rgb="FFFBF9F3"/>
      </font>
      <fill>
        <patternFill patternType="solid">
          <fgColor rgb="FF8B3A3A"/>
        </patternFill>
      </fill>
    </dxf>
    <dxf>
      <font>
        <color rgb="FFFBF9F3"/>
      </font>
      <fill>
        <patternFill patternType="solid">
          <fgColor rgb="FFB87C00"/>
        </patternFill>
      </fill>
    </dxf>
    <dxf>
      <font>
        <color rgb="FFFBF9F3"/>
      </font>
      <fill>
        <patternFill patternType="solid">
          <fgColor rgb="FF4A6B3A"/>
        </patternFill>
      </fill>
    </dxf>
    <dxf>
      <font>
        <b/>
        <color rgb="FF4A6B3A"/>
      </font>
      <fill>
        <patternFill patternType="solid">
          <fgColor rgb="FFE3EBDC"/>
        </patternFill>
      </fill>
    </dxf>
    <dxf>
      <font>
        <b/>
        <color rgb="FF8B7340"/>
      </font>
      <fill>
        <patternFill patternType="solid">
          <fgColor rgb="FFEFE6CF"/>
        </patternFill>
      </fill>
    </dxf>
    <dxf>
      <font>
        <b/>
        <color rgb="FF1F2D4A"/>
      </font>
      <fill>
        <patternFill patternType="solid">
          <fgColor rgb="FFF5F1E6"/>
        </patternFill>
      </fill>
    </dxf>
    <dxf>
      <font>
        <b/>
        <color rgb="FF1F2D4A"/>
      </font>
      <fill>
        <patternFill patternType="solid">
          <fgColor rgb="FFF5F1E6"/>
        </patternFill>
      </fill>
    </dxf>
    <dxf>
      <font>
        <b/>
        <color rgb="FFB87C00"/>
      </font>
      <fill>
        <patternFill patternType="solid">
          <fgColor rgb="FFF8ECC8"/>
        </patternFill>
      </fill>
    </dxf>
    <dxf>
      <font>
        <b/>
        <color rgb="FF8B3A3A"/>
      </font>
      <fill>
        <patternFill patternType="solid">
          <fgColor rgb="FFF4E0E0"/>
        </patternFill>
      </fill>
    </dxf>
    <dxf>
      <font>
        <b/>
        <color rgb="FFFBF9F3"/>
      </font>
      <fill>
        <patternFill patternType="solid">
          <fgColor rgb="FF8B3A3A"/>
        </patternFill>
      </fill>
    </dxf>
    <dxf>
      <font>
        <b/>
        <color rgb="FFFBF9F3"/>
      </font>
      <fill>
        <patternFill patternType="solid">
          <fgColor rgb="FFB87C00"/>
        </patternFill>
      </fill>
    </dxf>
    <dxf>
      <font>
        <b/>
        <color rgb="FFFBF9F3"/>
      </font>
      <fill>
        <patternFill patternType="solid">
          <fgColor rgb="FF4A6B3A"/>
        </patternFill>
      </fill>
    </dxf>
    <dxf>
      <font>
        <b/>
        <color rgb="FF8B3A3A"/>
      </font>
    </dxf>
    <dxf>
      <font>
        <b/>
        <color rgb="FFB87C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72"/>
  <sheetViews>
    <sheetView workbookViewId="0" showGridLines="0"/>
  </sheetViews>
  <sheetFormatPr defaultRowHeight="18" outlineLevelRow="0" outlineLevelCol="0" x14ac:dyDescent="55" customHeight="1"/>
  <cols>
    <col min="1" max="1" width="3" customWidth="1"/>
    <col min="2" max="2" width="22" customWidth="1"/>
    <col min="3" max="5" width="28" customWidth="1"/>
    <col min="6" max="6" width="22" customWidth="1"/>
    <col min="7" max="7" width="3" customWidth="1"/>
  </cols>
  <sheetData>
    <row r="2" ht="38" customHeight="1" spans="2:6" x14ac:dyDescent="0.25">
      <c r="B2" s="1" t="s">
        <v>0</v>
      </c>
      <c r="C2"/>
      <c r="D2"/>
      <c r="E2"/>
      <c r="F2"/>
    </row>
    <row r="3" spans="2:6" x14ac:dyDescent="0.25">
      <c r="B3" s="2" t="s">
        <v>1</v>
      </c>
      <c r="C3"/>
      <c r="D3"/>
      <c r="E3"/>
      <c r="F3"/>
    </row>
    <row r="4" ht="22" customHeight="1" spans="2:6" x14ac:dyDescent="0.25">
      <c r="B4" s="3" t="s">
        <v>2</v>
      </c>
      <c r="C4"/>
      <c r="D4"/>
      <c r="E4"/>
      <c r="F4"/>
    </row>
    <row r="6" ht="24" customHeight="1" spans="2:6" x14ac:dyDescent="0.25">
      <c r="B6" s="4" t="s">
        <v>3</v>
      </c>
      <c r="C6"/>
      <c r="D6"/>
      <c r="E6"/>
      <c r="F6"/>
    </row>
    <row r="7" ht="22" customHeight="1" spans="2:6" x14ac:dyDescent="0.25">
      <c r="B7" s="5" t="s">
        <v>4</v>
      </c>
      <c r="C7"/>
      <c r="D7"/>
      <c r="E7"/>
      <c r="F7"/>
    </row>
    <row r="8" ht="18" customHeight="1" spans="2:6" x14ac:dyDescent="0.25">
      <c r="B8" s="5" t="s">
        <v>5</v>
      </c>
      <c r="C8"/>
      <c r="D8"/>
      <c r="E8"/>
      <c r="F8"/>
    </row>
    <row r="9" ht="18" customHeight="1" spans="2:6" x14ac:dyDescent="0.25">
      <c r="B9" s="5" t="s">
        <v>6</v>
      </c>
      <c r="C9"/>
      <c r="D9"/>
      <c r="E9"/>
      <c r="F9"/>
    </row>
    <row r="10" ht="18" customHeight="1" spans="2:6" x14ac:dyDescent="0.25">
      <c r="B10" s="5" t="s">
        <v>7</v>
      </c>
      <c r="C10"/>
      <c r="D10"/>
      <c r="E10"/>
      <c r="F10"/>
    </row>
    <row r="11" ht="18" customHeight="1" spans="2:6" x14ac:dyDescent="0.25">
      <c r="B11" s="5" t="s">
        <v>8</v>
      </c>
      <c r="C11"/>
      <c r="D11"/>
      <c r="E11"/>
      <c r="F11"/>
    </row>
    <row r="13" ht="24" customHeight="1" spans="2:6" x14ac:dyDescent="0.25">
      <c r="B13" s="4" t="s">
        <v>9</v>
      </c>
      <c r="C13"/>
      <c r="D13"/>
      <c r="E13"/>
      <c r="F13"/>
    </row>
    <row r="14" ht="24" customHeight="1" spans="2:6" x14ac:dyDescent="0.25">
      <c r="B14" s="6" t="s">
        <v>10</v>
      </c>
      <c r="C14" s="6" t="s">
        <v>11</v>
      </c>
      <c r="D14"/>
      <c r="E14" s="6" t="s">
        <v>12</v>
      </c>
      <c r="F14"/>
    </row>
    <row r="15" ht="26" customHeight="1" spans="2:6" x14ac:dyDescent="0.25">
      <c r="B15" s="7" t="s">
        <v>13</v>
      </c>
      <c r="C15" s="8" t="s">
        <v>14</v>
      </c>
      <c r="D15"/>
      <c r="E15" s="9" t="s">
        <v>15</v>
      </c>
      <c r="F15"/>
    </row>
    <row r="16" ht="26" customHeight="1" spans="2:6" x14ac:dyDescent="0.25">
      <c r="B16" s="7" t="s">
        <v>16</v>
      </c>
      <c r="C16" s="8" t="s">
        <v>17</v>
      </c>
      <c r="D16"/>
      <c r="E16" s="9" t="s">
        <v>18</v>
      </c>
      <c r="F16"/>
    </row>
    <row r="17" ht="26" customHeight="1" spans="2:6" x14ac:dyDescent="0.25">
      <c r="B17" s="7" t="s">
        <v>19</v>
      </c>
      <c r="C17" s="8" t="s">
        <v>20</v>
      </c>
      <c r="D17"/>
      <c r="E17" s="9" t="s">
        <v>21</v>
      </c>
      <c r="F17"/>
    </row>
    <row r="18" ht="26" customHeight="1" spans="2:6" x14ac:dyDescent="0.25">
      <c r="B18" s="7" t="s">
        <v>22</v>
      </c>
      <c r="C18" s="8" t="s">
        <v>23</v>
      </c>
      <c r="D18"/>
      <c r="E18" s="9" t="s">
        <v>24</v>
      </c>
      <c r="F18"/>
    </row>
    <row r="20" ht="24" customHeight="1" spans="2:6" x14ac:dyDescent="0.25">
      <c r="B20" s="4" t="s">
        <v>25</v>
      </c>
      <c r="C20"/>
      <c r="D20"/>
      <c r="E20"/>
      <c r="F20"/>
    </row>
    <row r="21" ht="22" customHeight="1" spans="2:6" x14ac:dyDescent="0.25">
      <c r="B21" s="5" t="s">
        <v>26</v>
      </c>
      <c r="C21"/>
      <c r="D21"/>
      <c r="E21"/>
      <c r="F21"/>
    </row>
    <row r="22" ht="30" customHeight="1" spans="2:6" x14ac:dyDescent="0.25">
      <c r="B22" s="10" t="s">
        <v>27</v>
      </c>
      <c r="C22" s="11" t="s">
        <v>28</v>
      </c>
      <c r="D22"/>
      <c r="E22"/>
      <c r="F22"/>
    </row>
    <row r="23" ht="30" customHeight="1" spans="2:6" x14ac:dyDescent="0.25">
      <c r="B23" s="12" t="s">
        <v>29</v>
      </c>
      <c r="C23" s="13" t="s">
        <v>30</v>
      </c>
      <c r="D23"/>
      <c r="E23"/>
      <c r="F23"/>
    </row>
    <row r="24" ht="30" customHeight="1" spans="2:6" x14ac:dyDescent="0.25">
      <c r="B24" s="12" t="s">
        <v>31</v>
      </c>
      <c r="C24" s="13" t="s">
        <v>32</v>
      </c>
      <c r="D24"/>
      <c r="E24"/>
      <c r="F24"/>
    </row>
    <row r="25" ht="30" customHeight="1" spans="2:6" x14ac:dyDescent="0.25">
      <c r="B25" s="14" t="s">
        <v>33</v>
      </c>
      <c r="C25" s="15" t="s">
        <v>34</v>
      </c>
      <c r="D25"/>
      <c r="E25"/>
      <c r="F25"/>
    </row>
    <row r="26" ht="30" customHeight="1" spans="2:6" x14ac:dyDescent="0.25">
      <c r="B26" s="14" t="s">
        <v>35</v>
      </c>
      <c r="C26" s="15" t="s">
        <v>36</v>
      </c>
      <c r="D26"/>
      <c r="E26"/>
      <c r="F26"/>
    </row>
    <row r="27" ht="30" customHeight="1" spans="2:6" x14ac:dyDescent="0.25">
      <c r="B27" s="10" t="s">
        <v>37</v>
      </c>
      <c r="C27" s="11" t="s">
        <v>38</v>
      </c>
      <c r="D27"/>
      <c r="E27"/>
      <c r="F27"/>
    </row>
    <row r="29" ht="24" customHeight="1" spans="2:6" x14ac:dyDescent="0.25">
      <c r="B29" s="4" t="s">
        <v>39</v>
      </c>
      <c r="C29"/>
      <c r="D29"/>
      <c r="E29"/>
      <c r="F29"/>
    </row>
    <row r="30" ht="22" customHeight="1" spans="2:6" x14ac:dyDescent="0.25">
      <c r="B30" s="5" t="s">
        <v>40</v>
      </c>
      <c r="C30"/>
      <c r="D30"/>
      <c r="E30"/>
      <c r="F30"/>
    </row>
    <row r="31" ht="28" customHeight="1" spans="2:6" x14ac:dyDescent="0.25">
      <c r="B31" s="16" t="s">
        <v>41</v>
      </c>
      <c r="C31" s="17" t="s">
        <v>42</v>
      </c>
      <c r="D31" s="18" t="s">
        <v>43</v>
      </c>
      <c r="E31"/>
      <c r="F31"/>
    </row>
    <row r="32" ht="28" customHeight="1" spans="2:6" x14ac:dyDescent="0.25">
      <c r="B32" s="16" t="s">
        <v>44</v>
      </c>
      <c r="C32" s="17" t="s">
        <v>45</v>
      </c>
      <c r="D32" s="18" t="s">
        <v>46</v>
      </c>
      <c r="E32"/>
      <c r="F32"/>
    </row>
    <row r="33" ht="28" customHeight="1" spans="2:6" x14ac:dyDescent="0.25">
      <c r="B33" s="16" t="s">
        <v>44</v>
      </c>
      <c r="C33" s="17" t="s">
        <v>47</v>
      </c>
      <c r="D33" s="18" t="s">
        <v>48</v>
      </c>
      <c r="E33"/>
      <c r="F33"/>
    </row>
    <row r="34" ht="28" customHeight="1" spans="2:6" x14ac:dyDescent="0.25">
      <c r="B34" s="16" t="s">
        <v>49</v>
      </c>
      <c r="C34" s="17" t="s">
        <v>50</v>
      </c>
      <c r="D34" s="18" t="s">
        <v>51</v>
      </c>
      <c r="E34"/>
      <c r="F34"/>
    </row>
    <row r="35" ht="28" customHeight="1" spans="2:6" x14ac:dyDescent="0.25">
      <c r="B35" s="16" t="s">
        <v>52</v>
      </c>
      <c r="C35" s="17" t="s">
        <v>53</v>
      </c>
      <c r="D35" s="18" t="s">
        <v>54</v>
      </c>
      <c r="E35"/>
      <c r="F35"/>
    </row>
    <row r="36" ht="28" customHeight="1" spans="2:6" x14ac:dyDescent="0.25">
      <c r="B36" s="16" t="s">
        <v>55</v>
      </c>
      <c r="C36" s="17" t="s">
        <v>56</v>
      </c>
      <c r="D36" s="18" t="s">
        <v>57</v>
      </c>
      <c r="E36"/>
      <c r="F36"/>
    </row>
    <row r="37" ht="28" customHeight="1" spans="2:6" x14ac:dyDescent="0.25">
      <c r="B37" s="16" t="s">
        <v>58</v>
      </c>
      <c r="C37" s="17" t="s">
        <v>59</v>
      </c>
      <c r="D37" s="18" t="s">
        <v>60</v>
      </c>
      <c r="E37"/>
      <c r="F37"/>
    </row>
    <row r="39" ht="24" customHeight="1" spans="2:6" x14ac:dyDescent="0.25">
      <c r="B39" s="4" t="s">
        <v>61</v>
      </c>
      <c r="C39"/>
      <c r="D39"/>
      <c r="E39"/>
      <c r="F39"/>
    </row>
    <row r="40" ht="22" customHeight="1" spans="2:6" x14ac:dyDescent="0.25">
      <c r="B40" s="5" t="s">
        <v>62</v>
      </c>
      <c r="C40"/>
      <c r="D40"/>
      <c r="E40"/>
      <c r="F40"/>
    </row>
    <row r="41" ht="24" customHeight="1" spans="2:5" x14ac:dyDescent="0.25">
      <c r="B41" s="6" t="s">
        <v>50</v>
      </c>
      <c r="C41" s="6" t="s">
        <v>63</v>
      </c>
      <c r="D41" s="6" t="s">
        <v>64</v>
      </c>
      <c r="E41" s="6" t="s">
        <v>65</v>
      </c>
    </row>
    <row r="42" ht="32" customHeight="1" spans="2:5" x14ac:dyDescent="0.25">
      <c r="B42" s="19" t="s">
        <v>66</v>
      </c>
      <c r="C42" s="20" t="s">
        <v>67</v>
      </c>
      <c r="D42" s="21" t="s">
        <v>68</v>
      </c>
      <c r="E42" s="21" t="s">
        <v>69</v>
      </c>
    </row>
    <row r="43" ht="32" customHeight="1" spans="2:5" x14ac:dyDescent="0.25">
      <c r="B43" s="22" t="s">
        <v>70</v>
      </c>
      <c r="C43" s="20" t="s">
        <v>71</v>
      </c>
      <c r="D43" s="21" t="s">
        <v>72</v>
      </c>
      <c r="E43" s="21" t="s">
        <v>73</v>
      </c>
    </row>
    <row r="44" ht="32" customHeight="1" spans="2:5" x14ac:dyDescent="0.25">
      <c r="B44" s="23" t="s">
        <v>74</v>
      </c>
      <c r="C44" s="20" t="s">
        <v>75</v>
      </c>
      <c r="D44" s="21" t="s">
        <v>73</v>
      </c>
      <c r="E44" s="21" t="s">
        <v>73</v>
      </c>
    </row>
    <row r="45" ht="32" customHeight="1" spans="2:5" x14ac:dyDescent="0.25">
      <c r="B45" s="23" t="s">
        <v>76</v>
      </c>
      <c r="C45" s="20" t="s">
        <v>77</v>
      </c>
      <c r="D45" s="21" t="s">
        <v>78</v>
      </c>
      <c r="E45" s="21" t="s">
        <v>73</v>
      </c>
    </row>
    <row r="46" ht="32" customHeight="1" spans="2:5" x14ac:dyDescent="0.25">
      <c r="B46" s="24" t="s">
        <v>79</v>
      </c>
      <c r="C46" s="20" t="s">
        <v>80</v>
      </c>
      <c r="D46" s="21" t="s">
        <v>81</v>
      </c>
      <c r="E46" s="21" t="s">
        <v>44</v>
      </c>
    </row>
    <row r="47" ht="32" customHeight="1" spans="2:5" x14ac:dyDescent="0.25">
      <c r="B47" s="25" t="s">
        <v>82</v>
      </c>
      <c r="C47" s="20" t="s">
        <v>83</v>
      </c>
      <c r="D47" s="21" t="s">
        <v>84</v>
      </c>
      <c r="E47" s="21" t="s">
        <v>44</v>
      </c>
    </row>
    <row r="49" ht="24" customHeight="1" spans="2:6" x14ac:dyDescent="0.25">
      <c r="B49" s="4" t="s">
        <v>85</v>
      </c>
      <c r="C49"/>
      <c r="D49"/>
      <c r="E49"/>
      <c r="F49"/>
    </row>
    <row r="50" ht="22" customHeight="1" spans="2:6" x14ac:dyDescent="0.25">
      <c r="B50" s="5" t="s">
        <v>86</v>
      </c>
      <c r="C50"/>
      <c r="D50"/>
      <c r="E50"/>
      <c r="F50"/>
    </row>
    <row r="52" ht="22" customHeight="1" spans="2:6" x14ac:dyDescent="0.25">
      <c r="B52" s="26" t="s">
        <v>87</v>
      </c>
      <c r="C52"/>
      <c r="D52"/>
      <c r="E52"/>
      <c r="F52"/>
    </row>
    <row r="54" ht="22" customHeight="1" spans="2:6" x14ac:dyDescent="0.25">
      <c r="B54" s="5" t="s">
        <v>88</v>
      </c>
      <c r="C54"/>
      <c r="D54"/>
      <c r="E54"/>
      <c r="F54"/>
    </row>
    <row r="55" ht="18" customHeight="1" spans="2:6" x14ac:dyDescent="0.25">
      <c r="B55" s="27" t="s">
        <v>89</v>
      </c>
      <c r="C55"/>
      <c r="D55"/>
      <c r="E55"/>
      <c r="F55"/>
    </row>
    <row r="56" ht="18" customHeight="1" spans="2:6" x14ac:dyDescent="0.25">
      <c r="B56" s="28" t="s">
        <v>90</v>
      </c>
      <c r="C56"/>
      <c r="D56"/>
      <c r="E56"/>
      <c r="F56"/>
    </row>
    <row r="57" ht="28" customHeight="1" spans="2:6" x14ac:dyDescent="0.25">
      <c r="B57" s="29" t="s">
        <v>91</v>
      </c>
      <c r="C57"/>
      <c r="D57"/>
      <c r="E57"/>
      <c r="F57"/>
    </row>
    <row r="59" ht="24" customHeight="1" spans="2:6" x14ac:dyDescent="0.25">
      <c r="B59" s="4" t="s">
        <v>92</v>
      </c>
      <c r="C59"/>
      <c r="D59"/>
      <c r="E59"/>
      <c r="F59"/>
    </row>
    <row r="60" ht="22" customHeight="1" spans="2:6" x14ac:dyDescent="0.25">
      <c r="B60" s="5" t="s">
        <v>93</v>
      </c>
      <c r="C60"/>
      <c r="D60"/>
      <c r="E60"/>
      <c r="F60"/>
    </row>
    <row r="61" ht="22" customHeight="1" spans="2:6" x14ac:dyDescent="0.25">
      <c r="B61" s="5" t="s">
        <v>94</v>
      </c>
      <c r="C61"/>
      <c r="D61"/>
      <c r="E61"/>
      <c r="F61"/>
    </row>
    <row r="62" ht="22" customHeight="1" spans="2:6" x14ac:dyDescent="0.25">
      <c r="B62" s="5" t="s">
        <v>95</v>
      </c>
      <c r="C62"/>
      <c r="D62"/>
      <c r="E62"/>
      <c r="F62"/>
    </row>
    <row r="63" ht="22" customHeight="1" spans="2:6" x14ac:dyDescent="0.25">
      <c r="B63" s="5" t="s">
        <v>96</v>
      </c>
      <c r="C63"/>
      <c r="D63"/>
      <c r="E63"/>
      <c r="F63"/>
    </row>
    <row r="64" ht="22" customHeight="1" spans="2:6" x14ac:dyDescent="0.25">
      <c r="B64" s="5" t="s">
        <v>97</v>
      </c>
      <c r="C64"/>
      <c r="D64"/>
      <c r="E64"/>
      <c r="F64"/>
    </row>
    <row r="66" ht="24" customHeight="1" spans="2:6" x14ac:dyDescent="0.25">
      <c r="B66" s="4" t="s">
        <v>98</v>
      </c>
      <c r="C66"/>
      <c r="D66"/>
      <c r="E66"/>
      <c r="F66"/>
    </row>
    <row r="67" ht="20" customHeight="1" spans="2:6" x14ac:dyDescent="0.25">
      <c r="B67" s="5" t="s">
        <v>99</v>
      </c>
      <c r="C67"/>
      <c r="D67"/>
      <c r="E67"/>
      <c r="F67"/>
    </row>
    <row r="68" ht="20" customHeight="1" spans="2:6" x14ac:dyDescent="0.25">
      <c r="B68" s="5" t="s">
        <v>100</v>
      </c>
      <c r="C68"/>
      <c r="D68"/>
      <c r="E68"/>
      <c r="F68"/>
    </row>
    <row r="69" ht="20" customHeight="1" spans="2:6" x14ac:dyDescent="0.25">
      <c r="B69" s="5" t="s">
        <v>101</v>
      </c>
      <c r="C69"/>
      <c r="D69"/>
      <c r="E69"/>
      <c r="F69"/>
    </row>
    <row r="70" ht="22" customHeight="1" spans="2:6" x14ac:dyDescent="0.25">
      <c r="B70" s="26" t="s">
        <v>102</v>
      </c>
      <c r="C70"/>
      <c r="D70"/>
      <c r="E70"/>
      <c r="F70"/>
    </row>
    <row r="72" ht="24" customHeight="1" spans="2:6" x14ac:dyDescent="0.25">
      <c r="B72" s="30" t="s">
        <v>103</v>
      </c>
      <c r="C72"/>
      <c r="D72"/>
      <c r="E72"/>
      <c r="F72"/>
    </row>
  </sheetData>
  <mergeCells count="58">
    <mergeCell ref="B2:F2"/>
    <mergeCell ref="B3:F3"/>
    <mergeCell ref="B4:F4"/>
    <mergeCell ref="B6:F6"/>
    <mergeCell ref="B7:F7"/>
    <mergeCell ref="B8:F8"/>
    <mergeCell ref="B9:F9"/>
    <mergeCell ref="B10:F10"/>
    <mergeCell ref="B11:F11"/>
    <mergeCell ref="B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B20:F20"/>
    <mergeCell ref="B21:F21"/>
    <mergeCell ref="C22:F22"/>
    <mergeCell ref="C23:F23"/>
    <mergeCell ref="C24:F24"/>
    <mergeCell ref="C25:F25"/>
    <mergeCell ref="C26:F26"/>
    <mergeCell ref="C27:F27"/>
    <mergeCell ref="B29:F29"/>
    <mergeCell ref="B30:F30"/>
    <mergeCell ref="D31:F31"/>
    <mergeCell ref="D32:F32"/>
    <mergeCell ref="D33:F33"/>
    <mergeCell ref="D34:F34"/>
    <mergeCell ref="D35:F35"/>
    <mergeCell ref="D36:F36"/>
    <mergeCell ref="D37:F37"/>
    <mergeCell ref="B39:F39"/>
    <mergeCell ref="B40:F40"/>
    <mergeCell ref="B49:F49"/>
    <mergeCell ref="B50:F50"/>
    <mergeCell ref="B52:F52"/>
    <mergeCell ref="B54:F54"/>
    <mergeCell ref="B55:F55"/>
    <mergeCell ref="B56:F56"/>
    <mergeCell ref="B57:F57"/>
    <mergeCell ref="B59:F59"/>
    <mergeCell ref="B60:F60"/>
    <mergeCell ref="B61:F61"/>
    <mergeCell ref="B62:F62"/>
    <mergeCell ref="B63:F63"/>
    <mergeCell ref="B64:F64"/>
    <mergeCell ref="B66:F66"/>
    <mergeCell ref="B67:F67"/>
    <mergeCell ref="B68:F68"/>
    <mergeCell ref="B69:F69"/>
    <mergeCell ref="B70:F70"/>
    <mergeCell ref="B72:F72"/>
  </mergeCells>
  <pageMargins left="0.5" right="0.5" top="0.5" bottom="0.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25"/>
  <sheetViews>
    <sheetView workbookViewId="0" showGridLines="0"/>
  </sheetViews>
  <sheetFormatPr defaultRowHeight="18" outlineLevelRow="0" outlineLevelCol="0" x14ac:dyDescent="55" customHeight="1"/>
  <cols>
    <col min="1" max="1" width="3" customWidth="1"/>
    <col min="2" max="2" width="28" customWidth="1"/>
    <col min="3" max="6" width="22" customWidth="1"/>
    <col min="7" max="7" width="3" customWidth="1"/>
  </cols>
  <sheetData>
    <row r="2" ht="38" customHeight="1" spans="2:6" x14ac:dyDescent="0.25">
      <c r="B2" s="31" t="s">
        <v>104</v>
      </c>
      <c r="C2"/>
      <c r="D2"/>
      <c r="E2"/>
      <c r="F2"/>
    </row>
    <row r="3" spans="2:6" x14ac:dyDescent="0.25">
      <c r="B3" s="2" t="s">
        <v>105</v>
      </c>
      <c r="C3"/>
      <c r="D3"/>
      <c r="E3"/>
      <c r="F3"/>
    </row>
    <row r="4" ht="22" customHeight="1" spans="2:6" x14ac:dyDescent="0.25">
      <c r="B4" s="3" t="s">
        <v>106</v>
      </c>
      <c r="C4"/>
      <c r="D4"/>
      <c r="E4"/>
      <c r="F4"/>
    </row>
    <row r="6" spans="2:3" x14ac:dyDescent="0.25">
      <c r="B6" s="32" t="s">
        <v>107</v>
      </c>
      <c r="C6" s="33">
        <v>2026</v>
      </c>
    </row>
    <row r="9" spans="2:5" x14ac:dyDescent="0.25">
      <c r="B9" s="34" t="s">
        <v>108</v>
      </c>
      <c r="C9" s="34" t="s">
        <v>109</v>
      </c>
      <c r="D9" s="34" t="s">
        <v>110</v>
      </c>
      <c r="E9" s="34" t="s">
        <v>111</v>
      </c>
    </row>
    <row r="10" ht="26" customHeight="1" spans="2:5" x14ac:dyDescent="0.25">
      <c r="B10" s="35">
        <f>=SUMIFS(Saisie!G:G,Saisie!B:B,C6,Saisie!D:D,"don")</f>
      </c>
      <c r="C10" s="35">
        <f>=SUMIFS(Saisie!G:G,Saisie!B:B,C6,Saisie!D:D,"subvention")</f>
      </c>
      <c r="D10" s="35">
        <f>=SUMIFS(Saisie!G:G,Saisie!B:B,C6,Saisie!D:D,"prestation")+SUMIFS(Saisie!G:G,Saisie!B:B,C6,Saisie!D:D,"autre")</f>
      </c>
      <c r="E10" s="35">
        <f>=SUMIFS(Saisie!G:G,Saisie!B:B,C6,Saisie!D:D,"charge_deductible")+SUMIFS(Saisie!G:G,Saisie!B:B,C6,Saisie!D:D,"charge_non_deductible")</f>
      </c>
    </row>
    <row r="11" spans="2:5" x14ac:dyDescent="0.25">
      <c r="B11" s="36" t="s">
        <v>112</v>
      </c>
      <c r="C11" s="36" t="s">
        <v>113</v>
      </c>
      <c r="D11" s="36" t="s">
        <v>114</v>
      </c>
      <c r="E11" s="36" t="s">
        <v>115</v>
      </c>
    </row>
    <row r="14" ht="22" customHeight="1" spans="2:6" x14ac:dyDescent="0.25">
      <c r="B14" s="4" t="s">
        <v>116</v>
      </c>
      <c r="C14"/>
      <c r="D14"/>
      <c r="E14"/>
      <c r="F14"/>
    </row>
    <row r="15" spans="2:3" x14ac:dyDescent="0.25">
      <c r="B15" s="32" t="s">
        <v>117</v>
      </c>
      <c r="C15" s="37">
        <v>50000</v>
      </c>
    </row>
    <row r="16" spans="2:3" x14ac:dyDescent="0.25">
      <c r="B16" s="32" t="s">
        <v>118</v>
      </c>
      <c r="C16" s="38">
        <f>=MAX('Suivi hebdo'!O5:O56)</f>
      </c>
    </row>
    <row r="17" spans="2:3" x14ac:dyDescent="0.25">
      <c r="B17" s="32" t="s">
        <v>119</v>
      </c>
      <c r="C17" s="39">
        <f>=IF(C16&gt;50000,"⚠ DÉPASSEMENT — risque de retrait du statut",IF(C16&gt;40000,"⚠ VIGILANCE — &gt; 80% du plafond","✓ Conforme"))</f>
      </c>
    </row>
    <row r="19" ht="22" customHeight="1" spans="2:6" x14ac:dyDescent="0.25">
      <c r="B19" s="4" t="s">
        <v>120</v>
      </c>
      <c r="C19"/>
      <c r="D19"/>
      <c r="E19"/>
      <c r="F19"/>
    </row>
    <row r="20" ht="22" customHeight="1" spans="2:6" x14ac:dyDescent="0.25">
      <c r="B20" s="40" t="s">
        <v>121</v>
      </c>
      <c r="C20"/>
      <c r="D20"/>
      <c r="E20"/>
      <c r="F20"/>
    </row>
    <row r="21" ht="22" customHeight="1" spans="2:6" x14ac:dyDescent="0.25">
      <c r="B21" s="40" t="s">
        <v>122</v>
      </c>
      <c r="C21"/>
      <c r="D21"/>
      <c r="E21"/>
      <c r="F21"/>
    </row>
    <row r="22" ht="22" customHeight="1" spans="2:6" x14ac:dyDescent="0.25">
      <c r="B22" s="40" t="s">
        <v>123</v>
      </c>
      <c r="C22"/>
      <c r="D22"/>
      <c r="E22"/>
      <c r="F22"/>
    </row>
    <row r="23" ht="22" customHeight="1" spans="2:6" x14ac:dyDescent="0.25">
      <c r="B23" s="40" t="s">
        <v>124</v>
      </c>
      <c r="C23"/>
      <c r="D23"/>
      <c r="E23"/>
      <c r="F23"/>
    </row>
    <row r="24" ht="22" customHeight="1" spans="2:6" x14ac:dyDescent="0.25">
      <c r="B24" s="40" t="s">
        <v>125</v>
      </c>
      <c r="C24"/>
      <c r="D24"/>
      <c r="E24"/>
      <c r="F24"/>
    </row>
    <row r="25" ht="22" customHeight="1" spans="2:6" x14ac:dyDescent="0.25">
      <c r="B25" s="40" t="s">
        <v>126</v>
      </c>
      <c r="C25"/>
      <c r="D25"/>
      <c r="E25"/>
      <c r="F25"/>
    </row>
  </sheetData>
  <mergeCells count="11">
    <mergeCell ref="B2:F2"/>
    <mergeCell ref="B3:F3"/>
    <mergeCell ref="B4:F4"/>
    <mergeCell ref="B14:F14"/>
    <mergeCell ref="B19:F19"/>
    <mergeCell ref="B20:F20"/>
    <mergeCell ref="B21:F21"/>
    <mergeCell ref="B22:F22"/>
    <mergeCell ref="B23:F23"/>
    <mergeCell ref="B24:F24"/>
    <mergeCell ref="B25:F25"/>
  </mergeCells>
  <conditionalFormatting sqref="C17">
    <cfRule type="containsText" dxfId="0" priority="1">
      <formula>NOT(ISERROR(SEARCH("DÉPASSEMENT",C17)))</formula>
    </cfRule>
    <cfRule type="containsText" dxfId="1" priority="2">
      <formula>NOT(ISERROR(SEARCH("VIGILANCE",C17)))</formula>
    </cfRule>
    <cfRule type="containsText" dxfId="2" priority="3">
      <formula>NOT(ISERROR(SEARCH("Conforme",C17)))</formula>
    </cfRule>
  </conditionalFormatting>
  <pageMargins left="0.5" right="0.5" top="0.5" bottom="0.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1" customWidth="1"/>
    <col min="4" max="4" width="22" customWidth="1"/>
    <col min="5" max="5" width="32" customWidth="1"/>
    <col min="6" max="6" width="50" customWidth="1"/>
    <col min="7" max="7" width="16" customWidth="1"/>
  </cols>
  <sheetData>
    <row r="1" ht="30" customHeight="1" spans="1:7" x14ac:dyDescent="0.25">
      <c r="A1" s="41" t="s">
        <v>127</v>
      </c>
      <c r="B1"/>
      <c r="C1"/>
      <c r="D1"/>
      <c r="E1"/>
      <c r="F1"/>
      <c r="G1"/>
    </row>
    <row r="2" ht="24" customHeight="1" spans="1:7" x14ac:dyDescent="0.25">
      <c r="A2" s="42" t="s">
        <v>128</v>
      </c>
      <c r="B2"/>
      <c r="C2"/>
      <c r="D2"/>
      <c r="E2"/>
      <c r="F2"/>
      <c r="G2"/>
    </row>
    <row r="4" ht="22" customHeight="1" spans="1:7" x14ac:dyDescent="0.25">
      <c r="A4" s="6" t="s">
        <v>42</v>
      </c>
      <c r="B4" s="6" t="s">
        <v>45</v>
      </c>
      <c r="C4" s="6" t="s">
        <v>47</v>
      </c>
      <c r="D4" s="6" t="s">
        <v>50</v>
      </c>
      <c r="E4" s="6" t="s">
        <v>53</v>
      </c>
      <c r="F4" s="6" t="s">
        <v>56</v>
      </c>
      <c r="G4" s="6" t="s">
        <v>59</v>
      </c>
    </row>
    <row r="5" spans="1:7" x14ac:dyDescent="0.25">
      <c r="A5" s="43"/>
      <c r="B5" s="44">
        <f>IF(A5="","",YEAR(A5))</f>
      </c>
      <c r="C5" s="44">
        <f>IF(A5="","",WEEKNUM(A5,21))</f>
      </c>
      <c r="D5" s="45"/>
      <c r="E5" s="45"/>
      <c r="F5" s="45"/>
      <c r="G5" s="46"/>
    </row>
    <row r="6" spans="1:7" x14ac:dyDescent="0.25">
      <c r="A6" s="43"/>
      <c r="B6" s="44">
        <f>IF(A6="","",YEAR(A6))</f>
      </c>
      <c r="C6" s="44">
        <f>IF(A6="","",WEEKNUM(A6,21))</f>
      </c>
      <c r="D6" s="45"/>
      <c r="E6" s="45"/>
      <c r="F6" s="45"/>
      <c r="G6" s="46"/>
    </row>
    <row r="7" spans="1:7" x14ac:dyDescent="0.25">
      <c r="A7" s="43"/>
      <c r="B7" s="44">
        <f>IF(A7="","",YEAR(A7))</f>
      </c>
      <c r="C7" s="44">
        <f>IF(A7="","",WEEKNUM(A7,21))</f>
      </c>
      <c r="D7" s="45"/>
      <c r="E7" s="45"/>
      <c r="F7" s="45"/>
      <c r="G7" s="46"/>
    </row>
    <row r="8" spans="1:7" x14ac:dyDescent="0.25">
      <c r="A8" s="43"/>
      <c r="B8" s="44">
        <f>IF(A8="","",YEAR(A8))</f>
      </c>
      <c r="C8" s="44">
        <f>IF(A8="","",WEEKNUM(A8,21))</f>
      </c>
      <c r="D8" s="45"/>
      <c r="E8" s="45"/>
      <c r="F8" s="45"/>
      <c r="G8" s="46"/>
    </row>
    <row r="9" spans="1:7" x14ac:dyDescent="0.25">
      <c r="A9" s="43"/>
      <c r="B9" s="44">
        <f>IF(A9="","",YEAR(A9))</f>
      </c>
      <c r="C9" s="44">
        <f>IF(A9="","",WEEKNUM(A9,21))</f>
      </c>
      <c r="D9" s="45"/>
      <c r="E9" s="45"/>
      <c r="F9" s="45"/>
      <c r="G9" s="46"/>
    </row>
    <row r="10" spans="1:7" x14ac:dyDescent="0.25">
      <c r="A10" s="43"/>
      <c r="B10" s="44">
        <f>IF(A10="","",YEAR(A10))</f>
      </c>
      <c r="C10" s="44">
        <f>IF(A10="","",WEEKNUM(A10,21))</f>
      </c>
      <c r="D10" s="45"/>
      <c r="E10" s="45"/>
      <c r="F10" s="45"/>
      <c r="G10" s="46"/>
    </row>
    <row r="11" spans="1:7" x14ac:dyDescent="0.25">
      <c r="A11" s="43"/>
      <c r="B11" s="44">
        <f>IF(A11="","",YEAR(A11))</f>
      </c>
      <c r="C11" s="44">
        <f>IF(A11="","",WEEKNUM(A11,21))</f>
      </c>
      <c r="D11" s="45"/>
      <c r="E11" s="45"/>
      <c r="F11" s="45"/>
      <c r="G11" s="46"/>
    </row>
    <row r="12" spans="1:7" x14ac:dyDescent="0.25">
      <c r="A12" s="43"/>
      <c r="B12" s="44">
        <f>IF(A12="","",YEAR(A12))</f>
      </c>
      <c r="C12" s="44">
        <f>IF(A12="","",WEEKNUM(A12,21))</f>
      </c>
      <c r="D12" s="45"/>
      <c r="E12" s="45"/>
      <c r="F12" s="45"/>
      <c r="G12" s="46"/>
    </row>
    <row r="13" spans="1:7" x14ac:dyDescent="0.25">
      <c r="A13" s="43"/>
      <c r="B13" s="44">
        <f>IF(A13="","",YEAR(A13))</f>
      </c>
      <c r="C13" s="44">
        <f>IF(A13="","",WEEKNUM(A13,21))</f>
      </c>
      <c r="D13" s="45"/>
      <c r="E13" s="45"/>
      <c r="F13" s="45"/>
      <c r="G13" s="46"/>
    </row>
    <row r="14" spans="1:7" x14ac:dyDescent="0.25">
      <c r="A14" s="43"/>
      <c r="B14" s="44">
        <f>IF(A14="","",YEAR(A14))</f>
      </c>
      <c r="C14" s="44">
        <f>IF(A14="","",WEEKNUM(A14,21))</f>
      </c>
      <c r="D14" s="45"/>
      <c r="E14" s="45"/>
      <c r="F14" s="45"/>
      <c r="G14" s="46"/>
    </row>
    <row r="15" spans="1:7" x14ac:dyDescent="0.25">
      <c r="A15" s="43"/>
      <c r="B15" s="44">
        <f>IF(A15="","",YEAR(A15))</f>
      </c>
      <c r="C15" s="44">
        <f>IF(A15="","",WEEKNUM(A15,21))</f>
      </c>
      <c r="D15" s="45"/>
      <c r="E15" s="45"/>
      <c r="F15" s="45"/>
      <c r="G15" s="46"/>
    </row>
    <row r="16" spans="1:7" x14ac:dyDescent="0.25">
      <c r="A16" s="43"/>
      <c r="B16" s="44">
        <f>IF(A16="","",YEAR(A16))</f>
      </c>
      <c r="C16" s="44">
        <f>IF(A16="","",WEEKNUM(A16,21))</f>
      </c>
      <c r="D16" s="45"/>
      <c r="E16" s="45"/>
      <c r="F16" s="45"/>
      <c r="G16" s="46"/>
    </row>
    <row r="17" spans="1:7" x14ac:dyDescent="0.25">
      <c r="A17" s="43"/>
      <c r="B17" s="44">
        <f>IF(A17="","",YEAR(A17))</f>
      </c>
      <c r="C17" s="44">
        <f>IF(A17="","",WEEKNUM(A17,21))</f>
      </c>
      <c r="D17" s="45"/>
      <c r="E17" s="45"/>
      <c r="F17" s="45"/>
      <c r="G17" s="46"/>
    </row>
    <row r="18" spans="1:7" x14ac:dyDescent="0.25">
      <c r="A18" s="43"/>
      <c r="B18" s="44">
        <f>IF(A18="","",YEAR(A18))</f>
      </c>
      <c r="C18" s="44">
        <f>IF(A18="","",WEEKNUM(A18,21))</f>
      </c>
      <c r="D18" s="45"/>
      <c r="E18" s="45"/>
      <c r="F18" s="45"/>
      <c r="G18" s="46"/>
    </row>
    <row r="19" spans="1:7" x14ac:dyDescent="0.25">
      <c r="A19" s="43"/>
      <c r="B19" s="44">
        <f>IF(A19="","",YEAR(A19))</f>
      </c>
      <c r="C19" s="44">
        <f>IF(A19="","",WEEKNUM(A19,21))</f>
      </c>
      <c r="D19" s="45"/>
      <c r="E19" s="45"/>
      <c r="F19" s="45"/>
      <c r="G19" s="46"/>
    </row>
    <row r="20" spans="1:7" x14ac:dyDescent="0.25">
      <c r="A20" s="43"/>
      <c r="B20" s="44">
        <f>IF(A20="","",YEAR(A20))</f>
      </c>
      <c r="C20" s="44">
        <f>IF(A20="","",WEEKNUM(A20,21))</f>
      </c>
      <c r="D20" s="45"/>
      <c r="E20" s="45"/>
      <c r="F20" s="45"/>
      <c r="G20" s="46"/>
    </row>
    <row r="21" spans="1:7" x14ac:dyDescent="0.25">
      <c r="A21" s="43"/>
      <c r="B21" s="44">
        <f>IF(A21="","",YEAR(A21))</f>
      </c>
      <c r="C21" s="44">
        <f>IF(A21="","",WEEKNUM(A21,21))</f>
      </c>
      <c r="D21" s="45"/>
      <c r="E21" s="45"/>
      <c r="F21" s="45"/>
      <c r="G21" s="46"/>
    </row>
    <row r="22" spans="1:7" x14ac:dyDescent="0.25">
      <c r="A22" s="43"/>
      <c r="B22" s="44">
        <f>IF(A22="","",YEAR(A22))</f>
      </c>
      <c r="C22" s="44">
        <f>IF(A22="","",WEEKNUM(A22,21))</f>
      </c>
      <c r="D22" s="45"/>
      <c r="E22" s="45"/>
      <c r="F22" s="45"/>
      <c r="G22" s="46"/>
    </row>
    <row r="23" spans="1:7" x14ac:dyDescent="0.25">
      <c r="A23" s="43"/>
      <c r="B23" s="44">
        <f>IF(A23="","",YEAR(A23))</f>
      </c>
      <c r="C23" s="44">
        <f>IF(A23="","",WEEKNUM(A23,21))</f>
      </c>
      <c r="D23" s="45"/>
      <c r="E23" s="45"/>
      <c r="F23" s="45"/>
      <c r="G23" s="46"/>
    </row>
    <row r="24" spans="1:7" x14ac:dyDescent="0.25">
      <c r="A24" s="43"/>
      <c r="B24" s="44">
        <f>IF(A24="","",YEAR(A24))</f>
      </c>
      <c r="C24" s="44">
        <f>IF(A24="","",WEEKNUM(A24,21))</f>
      </c>
      <c r="D24" s="45"/>
      <c r="E24" s="45"/>
      <c r="F24" s="45"/>
      <c r="G24" s="46"/>
    </row>
    <row r="25" spans="1:7" x14ac:dyDescent="0.25">
      <c r="A25" s="43"/>
      <c r="B25" s="44">
        <f>IF(A25="","",YEAR(A25))</f>
      </c>
      <c r="C25" s="44">
        <f>IF(A25="","",WEEKNUM(A25,21))</f>
      </c>
      <c r="D25" s="45"/>
      <c r="E25" s="45"/>
      <c r="F25" s="45"/>
      <c r="G25" s="46"/>
    </row>
    <row r="26" spans="1:7" x14ac:dyDescent="0.25">
      <c r="A26" s="43"/>
      <c r="B26" s="44">
        <f>IF(A26="","",YEAR(A26))</f>
      </c>
      <c r="C26" s="44">
        <f>IF(A26="","",WEEKNUM(A26,21))</f>
      </c>
      <c r="D26" s="45"/>
      <c r="E26" s="45"/>
      <c r="F26" s="45"/>
      <c r="G26" s="46"/>
    </row>
    <row r="27" spans="1:7" x14ac:dyDescent="0.25">
      <c r="A27" s="43"/>
      <c r="B27" s="44">
        <f>IF(A27="","",YEAR(A27))</f>
      </c>
      <c r="C27" s="44">
        <f>IF(A27="","",WEEKNUM(A27,21))</f>
      </c>
      <c r="D27" s="45"/>
      <c r="E27" s="45"/>
      <c r="F27" s="45"/>
      <c r="G27" s="46"/>
    </row>
    <row r="28" spans="1:7" x14ac:dyDescent="0.25">
      <c r="A28" s="43"/>
      <c r="B28" s="44">
        <f>IF(A28="","",YEAR(A28))</f>
      </c>
      <c r="C28" s="44">
        <f>IF(A28="","",WEEKNUM(A28,21))</f>
      </c>
      <c r="D28" s="45"/>
      <c r="E28" s="45"/>
      <c r="F28" s="45"/>
      <c r="G28" s="46"/>
    </row>
    <row r="29" spans="1:7" x14ac:dyDescent="0.25">
      <c r="A29" s="43"/>
      <c r="B29" s="44">
        <f>IF(A29="","",YEAR(A29))</f>
      </c>
      <c r="C29" s="44">
        <f>IF(A29="","",WEEKNUM(A29,21))</f>
      </c>
      <c r="D29" s="45"/>
      <c r="E29" s="45"/>
      <c r="F29" s="45"/>
      <c r="G29" s="46"/>
    </row>
    <row r="30" spans="1:7" x14ac:dyDescent="0.25">
      <c r="A30" s="43"/>
      <c r="B30" s="44">
        <f>IF(A30="","",YEAR(A30))</f>
      </c>
      <c r="C30" s="44">
        <f>IF(A30="","",WEEKNUM(A30,21))</f>
      </c>
      <c r="D30" s="45"/>
      <c r="E30" s="45"/>
      <c r="F30" s="45"/>
      <c r="G30" s="46"/>
    </row>
    <row r="31" spans="1:7" x14ac:dyDescent="0.25">
      <c r="A31" s="43"/>
      <c r="B31" s="44">
        <f>IF(A31="","",YEAR(A31))</f>
      </c>
      <c r="C31" s="44">
        <f>IF(A31="","",WEEKNUM(A31,21))</f>
      </c>
      <c r="D31" s="45"/>
      <c r="E31" s="45"/>
      <c r="F31" s="45"/>
      <c r="G31" s="46"/>
    </row>
    <row r="32" spans="1:7" x14ac:dyDescent="0.25">
      <c r="A32" s="43"/>
      <c r="B32" s="44">
        <f>IF(A32="","",YEAR(A32))</f>
      </c>
      <c r="C32" s="44">
        <f>IF(A32="","",WEEKNUM(A32,21))</f>
      </c>
      <c r="D32" s="45"/>
      <c r="E32" s="45"/>
      <c r="F32" s="45"/>
      <c r="G32" s="46"/>
    </row>
    <row r="33" spans="1:7" x14ac:dyDescent="0.25">
      <c r="A33" s="43"/>
      <c r="B33" s="44">
        <f>IF(A33="","",YEAR(A33))</f>
      </c>
      <c r="C33" s="44">
        <f>IF(A33="","",WEEKNUM(A33,21))</f>
      </c>
      <c r="D33" s="45"/>
      <c r="E33" s="45"/>
      <c r="F33" s="45"/>
      <c r="G33" s="46"/>
    </row>
    <row r="34" spans="1:7" x14ac:dyDescent="0.25">
      <c r="A34" s="43"/>
      <c r="B34" s="44">
        <f>IF(A34="","",YEAR(A34))</f>
      </c>
      <c r="C34" s="44">
        <f>IF(A34="","",WEEKNUM(A34,21))</f>
      </c>
      <c r="D34" s="45"/>
      <c r="E34" s="45"/>
      <c r="F34" s="45"/>
      <c r="G34" s="46"/>
    </row>
    <row r="35" spans="1:7" x14ac:dyDescent="0.25">
      <c r="A35" s="43"/>
      <c r="B35" s="44">
        <f>IF(A35="","",YEAR(A35))</f>
      </c>
      <c r="C35" s="44">
        <f>IF(A35="","",WEEKNUM(A35,21))</f>
      </c>
      <c r="D35" s="45"/>
      <c r="E35" s="45"/>
      <c r="F35" s="45"/>
      <c r="G35" s="46"/>
    </row>
    <row r="36" spans="1:7" x14ac:dyDescent="0.25">
      <c r="A36" s="43"/>
      <c r="B36" s="44">
        <f>IF(A36="","",YEAR(A36))</f>
      </c>
      <c r="C36" s="44">
        <f>IF(A36="","",WEEKNUM(A36,21))</f>
      </c>
      <c r="D36" s="45"/>
      <c r="E36" s="45"/>
      <c r="F36" s="45"/>
      <c r="G36" s="46"/>
    </row>
    <row r="37" spans="1:7" x14ac:dyDescent="0.25">
      <c r="A37" s="43"/>
      <c r="B37" s="44">
        <f>IF(A37="","",YEAR(A37))</f>
      </c>
      <c r="C37" s="44">
        <f>IF(A37="","",WEEKNUM(A37,21))</f>
      </c>
      <c r="D37" s="45"/>
      <c r="E37" s="45"/>
      <c r="F37" s="45"/>
      <c r="G37" s="46"/>
    </row>
    <row r="38" spans="1:7" x14ac:dyDescent="0.25">
      <c r="A38" s="43"/>
      <c r="B38" s="44">
        <f>IF(A38="","",YEAR(A38))</f>
      </c>
      <c r="C38" s="44">
        <f>IF(A38="","",WEEKNUM(A38,21))</f>
      </c>
      <c r="D38" s="45"/>
      <c r="E38" s="45"/>
      <c r="F38" s="45"/>
      <c r="G38" s="46"/>
    </row>
    <row r="39" spans="1:7" x14ac:dyDescent="0.25">
      <c r="A39" s="43"/>
      <c r="B39" s="44">
        <f>IF(A39="","",YEAR(A39))</f>
      </c>
      <c r="C39" s="44">
        <f>IF(A39="","",WEEKNUM(A39,21))</f>
      </c>
      <c r="D39" s="45"/>
      <c r="E39" s="45"/>
      <c r="F39" s="45"/>
      <c r="G39" s="46"/>
    </row>
    <row r="40" spans="1:7" x14ac:dyDescent="0.25">
      <c r="A40" s="43"/>
      <c r="B40" s="44">
        <f>IF(A40="","",YEAR(A40))</f>
      </c>
      <c r="C40" s="44">
        <f>IF(A40="","",WEEKNUM(A40,21))</f>
      </c>
      <c r="D40" s="45"/>
      <c r="E40" s="45"/>
      <c r="F40" s="45"/>
      <c r="G40" s="46"/>
    </row>
    <row r="41" spans="1:7" x14ac:dyDescent="0.25">
      <c r="A41" s="43"/>
      <c r="B41" s="44">
        <f>IF(A41="","",YEAR(A41))</f>
      </c>
      <c r="C41" s="44">
        <f>IF(A41="","",WEEKNUM(A41,21))</f>
      </c>
      <c r="D41" s="45"/>
      <c r="E41" s="45"/>
      <c r="F41" s="45"/>
      <c r="G41" s="46"/>
    </row>
    <row r="42" spans="1:7" x14ac:dyDescent="0.25">
      <c r="A42" s="43"/>
      <c r="B42" s="44">
        <f>IF(A42="","",YEAR(A42))</f>
      </c>
      <c r="C42" s="44">
        <f>IF(A42="","",WEEKNUM(A42,21))</f>
      </c>
      <c r="D42" s="45"/>
      <c r="E42" s="45"/>
      <c r="F42" s="45"/>
      <c r="G42" s="46"/>
    </row>
    <row r="43" spans="1:7" x14ac:dyDescent="0.25">
      <c r="A43" s="43"/>
      <c r="B43" s="44">
        <f>IF(A43="","",YEAR(A43))</f>
      </c>
      <c r="C43" s="44">
        <f>IF(A43="","",WEEKNUM(A43,21))</f>
      </c>
      <c r="D43" s="45"/>
      <c r="E43" s="45"/>
      <c r="F43" s="45"/>
      <c r="G43" s="46"/>
    </row>
    <row r="44" spans="1:7" x14ac:dyDescent="0.25">
      <c r="A44" s="43"/>
      <c r="B44" s="44">
        <f>IF(A44="","",YEAR(A44))</f>
      </c>
      <c r="C44" s="44">
        <f>IF(A44="","",WEEKNUM(A44,21))</f>
      </c>
      <c r="D44" s="45"/>
      <c r="E44" s="45"/>
      <c r="F44" s="45"/>
      <c r="G44" s="46"/>
    </row>
    <row r="45" spans="1:7" x14ac:dyDescent="0.25">
      <c r="A45" s="43"/>
      <c r="B45" s="44">
        <f>IF(A45="","",YEAR(A45))</f>
      </c>
      <c r="C45" s="44">
        <f>IF(A45="","",WEEKNUM(A45,21))</f>
      </c>
      <c r="D45" s="45"/>
      <c r="E45" s="45"/>
      <c r="F45" s="45"/>
      <c r="G45" s="46"/>
    </row>
    <row r="46" spans="1:7" x14ac:dyDescent="0.25">
      <c r="A46" s="43"/>
      <c r="B46" s="44">
        <f>IF(A46="","",YEAR(A46))</f>
      </c>
      <c r="C46" s="44">
        <f>IF(A46="","",WEEKNUM(A46,21))</f>
      </c>
      <c r="D46" s="45"/>
      <c r="E46" s="45"/>
      <c r="F46" s="45"/>
      <c r="G46" s="46"/>
    </row>
    <row r="47" spans="1:7" x14ac:dyDescent="0.25">
      <c r="A47" s="43"/>
      <c r="B47" s="44">
        <f>IF(A47="","",YEAR(A47))</f>
      </c>
      <c r="C47" s="44">
        <f>IF(A47="","",WEEKNUM(A47,21))</f>
      </c>
      <c r="D47" s="45"/>
      <c r="E47" s="45"/>
      <c r="F47" s="45"/>
      <c r="G47" s="46"/>
    </row>
    <row r="48" spans="1:7" x14ac:dyDescent="0.25">
      <c r="A48" s="43"/>
      <c r="B48" s="44">
        <f>IF(A48="","",YEAR(A48))</f>
      </c>
      <c r="C48" s="44">
        <f>IF(A48="","",WEEKNUM(A48,21))</f>
      </c>
      <c r="D48" s="45"/>
      <c r="E48" s="45"/>
      <c r="F48" s="45"/>
      <c r="G48" s="46"/>
    </row>
    <row r="49" spans="1:7" x14ac:dyDescent="0.25">
      <c r="A49" s="43"/>
      <c r="B49" s="44">
        <f>IF(A49="","",YEAR(A49))</f>
      </c>
      <c r="C49" s="44">
        <f>IF(A49="","",WEEKNUM(A49,21))</f>
      </c>
      <c r="D49" s="45"/>
      <c r="E49" s="45"/>
      <c r="F49" s="45"/>
      <c r="G49" s="46"/>
    </row>
    <row r="50" spans="1:7" x14ac:dyDescent="0.25">
      <c r="A50" s="43"/>
      <c r="B50" s="44">
        <f>IF(A50="","",YEAR(A50))</f>
      </c>
      <c r="C50" s="44">
        <f>IF(A50="","",WEEKNUM(A50,21))</f>
      </c>
      <c r="D50" s="45"/>
      <c r="E50" s="45"/>
      <c r="F50" s="45"/>
      <c r="G50" s="46"/>
    </row>
    <row r="51" spans="1:7" x14ac:dyDescent="0.25">
      <c r="A51" s="43"/>
      <c r="B51" s="44">
        <f>IF(A51="","",YEAR(A51))</f>
      </c>
      <c r="C51" s="44">
        <f>IF(A51="","",WEEKNUM(A51,21))</f>
      </c>
      <c r="D51" s="45"/>
      <c r="E51" s="45"/>
      <c r="F51" s="45"/>
      <c r="G51" s="46"/>
    </row>
    <row r="52" spans="1:7" x14ac:dyDescent="0.25">
      <c r="A52" s="43"/>
      <c r="B52" s="44">
        <f>IF(A52="","",YEAR(A52))</f>
      </c>
      <c r="C52" s="44">
        <f>IF(A52="","",WEEKNUM(A52,21))</f>
      </c>
      <c r="D52" s="45"/>
      <c r="E52" s="45"/>
      <c r="F52" s="45"/>
      <c r="G52" s="46"/>
    </row>
    <row r="53" spans="1:7" x14ac:dyDescent="0.25">
      <c r="A53" s="43"/>
      <c r="B53" s="44">
        <f>IF(A53="","",YEAR(A53))</f>
      </c>
      <c r="C53" s="44">
        <f>IF(A53="","",WEEKNUM(A53,21))</f>
      </c>
      <c r="D53" s="45"/>
      <c r="E53" s="45"/>
      <c r="F53" s="45"/>
      <c r="G53" s="46"/>
    </row>
    <row r="54" spans="1:7" x14ac:dyDescent="0.25">
      <c r="A54" s="43"/>
      <c r="B54" s="44">
        <f>IF(A54="","",YEAR(A54))</f>
      </c>
      <c r="C54" s="44">
        <f>IF(A54="","",WEEKNUM(A54,21))</f>
      </c>
      <c r="D54" s="45"/>
      <c r="E54" s="45"/>
      <c r="F54" s="45"/>
      <c r="G54" s="46"/>
    </row>
    <row r="55" spans="1:7" x14ac:dyDescent="0.25">
      <c r="A55" s="43"/>
      <c r="B55" s="44">
        <f>IF(A55="","",YEAR(A55))</f>
      </c>
      <c r="C55" s="44">
        <f>IF(A55="","",WEEKNUM(A55,21))</f>
      </c>
      <c r="D55" s="45"/>
      <c r="E55" s="45"/>
      <c r="F55" s="45"/>
      <c r="G55" s="46"/>
    </row>
    <row r="56" spans="1:7" x14ac:dyDescent="0.25">
      <c r="A56" s="43"/>
      <c r="B56" s="44">
        <f>IF(A56="","",YEAR(A56))</f>
      </c>
      <c r="C56" s="44">
        <f>IF(A56="","",WEEKNUM(A56,21))</f>
      </c>
      <c r="D56" s="45"/>
      <c r="E56" s="45"/>
      <c r="F56" s="45"/>
      <c r="G56" s="46"/>
    </row>
    <row r="57" spans="1:7" x14ac:dyDescent="0.25">
      <c r="A57" s="43"/>
      <c r="B57" s="44">
        <f>IF(A57="","",YEAR(A57))</f>
      </c>
      <c r="C57" s="44">
        <f>IF(A57="","",WEEKNUM(A57,21))</f>
      </c>
      <c r="D57" s="45"/>
      <c r="E57" s="45"/>
      <c r="F57" s="45"/>
      <c r="G57" s="46"/>
    </row>
    <row r="58" spans="1:7" x14ac:dyDescent="0.25">
      <c r="A58" s="43"/>
      <c r="B58" s="44">
        <f>IF(A58="","",YEAR(A58))</f>
      </c>
      <c r="C58" s="44">
        <f>IF(A58="","",WEEKNUM(A58,21))</f>
      </c>
      <c r="D58" s="45"/>
      <c r="E58" s="45"/>
      <c r="F58" s="45"/>
      <c r="G58" s="46"/>
    </row>
    <row r="59" spans="1:7" x14ac:dyDescent="0.25">
      <c r="A59" s="43"/>
      <c r="B59" s="44">
        <f>IF(A59="","",YEAR(A59))</f>
      </c>
      <c r="C59" s="44">
        <f>IF(A59="","",WEEKNUM(A59,21))</f>
      </c>
      <c r="D59" s="45"/>
      <c r="E59" s="45"/>
      <c r="F59" s="45"/>
      <c r="G59" s="46"/>
    </row>
    <row r="60" spans="1:7" x14ac:dyDescent="0.25">
      <c r="A60" s="43"/>
      <c r="B60" s="44">
        <f>IF(A60="","",YEAR(A60))</f>
      </c>
      <c r="C60" s="44">
        <f>IF(A60="","",WEEKNUM(A60,21))</f>
      </c>
      <c r="D60" s="45"/>
      <c r="E60" s="45"/>
      <c r="F60" s="45"/>
      <c r="G60" s="46"/>
    </row>
    <row r="61" spans="1:7" x14ac:dyDescent="0.25">
      <c r="A61" s="43"/>
      <c r="B61" s="44">
        <f>IF(A61="","",YEAR(A61))</f>
      </c>
      <c r="C61" s="44">
        <f>IF(A61="","",WEEKNUM(A61,21))</f>
      </c>
      <c r="D61" s="45"/>
      <c r="E61" s="45"/>
      <c r="F61" s="45"/>
      <c r="G61" s="46"/>
    </row>
    <row r="62" spans="1:7" x14ac:dyDescent="0.25">
      <c r="A62" s="43"/>
      <c r="B62" s="44">
        <f>IF(A62="","",YEAR(A62))</f>
      </c>
      <c r="C62" s="44">
        <f>IF(A62="","",WEEKNUM(A62,21))</f>
      </c>
      <c r="D62" s="45"/>
      <c r="E62" s="45"/>
      <c r="F62" s="45"/>
      <c r="G62" s="46"/>
    </row>
    <row r="63" spans="1:7" x14ac:dyDescent="0.25">
      <c r="A63" s="43"/>
      <c r="B63" s="44">
        <f>IF(A63="","",YEAR(A63))</f>
      </c>
      <c r="C63" s="44">
        <f>IF(A63="","",WEEKNUM(A63,21))</f>
      </c>
      <c r="D63" s="45"/>
      <c r="E63" s="45"/>
      <c r="F63" s="45"/>
      <c r="G63" s="46"/>
    </row>
    <row r="64" spans="1:7" x14ac:dyDescent="0.25">
      <c r="A64" s="43"/>
      <c r="B64" s="44">
        <f>IF(A64="","",YEAR(A64))</f>
      </c>
      <c r="C64" s="44">
        <f>IF(A64="","",WEEKNUM(A64,21))</f>
      </c>
      <c r="D64" s="45"/>
      <c r="E64" s="45"/>
      <c r="F64" s="45"/>
      <c r="G64" s="46"/>
    </row>
    <row r="65" spans="1:7" x14ac:dyDescent="0.25">
      <c r="A65" s="43"/>
      <c r="B65" s="44">
        <f>IF(A65="","",YEAR(A65))</f>
      </c>
      <c r="C65" s="44">
        <f>IF(A65="","",WEEKNUM(A65,21))</f>
      </c>
      <c r="D65" s="45"/>
      <c r="E65" s="45"/>
      <c r="F65" s="45"/>
      <c r="G65" s="46"/>
    </row>
    <row r="66" spans="1:7" x14ac:dyDescent="0.25">
      <c r="A66" s="43"/>
      <c r="B66" s="44">
        <f>IF(A66="","",YEAR(A66))</f>
      </c>
      <c r="C66" s="44">
        <f>IF(A66="","",WEEKNUM(A66,21))</f>
      </c>
      <c r="D66" s="45"/>
      <c r="E66" s="45"/>
      <c r="F66" s="45"/>
      <c r="G66" s="46"/>
    </row>
    <row r="67" spans="1:7" x14ac:dyDescent="0.25">
      <c r="A67" s="43"/>
      <c r="B67" s="44">
        <f>IF(A67="","",YEAR(A67))</f>
      </c>
      <c r="C67" s="44">
        <f>IF(A67="","",WEEKNUM(A67,21))</f>
      </c>
      <c r="D67" s="45"/>
      <c r="E67" s="45"/>
      <c r="F67" s="45"/>
      <c r="G67" s="46"/>
    </row>
    <row r="68" spans="1:7" x14ac:dyDescent="0.25">
      <c r="A68" s="43"/>
      <c r="B68" s="44">
        <f>IF(A68="","",YEAR(A68))</f>
      </c>
      <c r="C68" s="44">
        <f>IF(A68="","",WEEKNUM(A68,21))</f>
      </c>
      <c r="D68" s="45"/>
      <c r="E68" s="45"/>
      <c r="F68" s="45"/>
      <c r="G68" s="46"/>
    </row>
    <row r="69" spans="1:7" x14ac:dyDescent="0.25">
      <c r="A69" s="43"/>
      <c r="B69" s="44">
        <f>IF(A69="","",YEAR(A69))</f>
      </c>
      <c r="C69" s="44">
        <f>IF(A69="","",WEEKNUM(A69,21))</f>
      </c>
      <c r="D69" s="45"/>
      <c r="E69" s="45"/>
      <c r="F69" s="45"/>
      <c r="G69" s="46"/>
    </row>
    <row r="70" spans="1:7" x14ac:dyDescent="0.25">
      <c r="A70" s="43"/>
      <c r="B70" s="44">
        <f>IF(A70="","",YEAR(A70))</f>
      </c>
      <c r="C70" s="44">
        <f>IF(A70="","",WEEKNUM(A70,21))</f>
      </c>
      <c r="D70" s="45"/>
      <c r="E70" s="45"/>
      <c r="F70" s="45"/>
      <c r="G70" s="46"/>
    </row>
    <row r="71" spans="1:7" x14ac:dyDescent="0.25">
      <c r="A71" s="43"/>
      <c r="B71" s="44">
        <f>IF(A71="","",YEAR(A71))</f>
      </c>
      <c r="C71" s="44">
        <f>IF(A71="","",WEEKNUM(A71,21))</f>
      </c>
      <c r="D71" s="45"/>
      <c r="E71" s="45"/>
      <c r="F71" s="45"/>
      <c r="G71" s="46"/>
    </row>
    <row r="72" spans="1:7" x14ac:dyDescent="0.25">
      <c r="A72" s="43"/>
      <c r="B72" s="44">
        <f>IF(A72="","",YEAR(A72))</f>
      </c>
      <c r="C72" s="44">
        <f>IF(A72="","",WEEKNUM(A72,21))</f>
      </c>
      <c r="D72" s="45"/>
      <c r="E72" s="45"/>
      <c r="F72" s="45"/>
      <c r="G72" s="46"/>
    </row>
    <row r="73" spans="1:7" x14ac:dyDescent="0.25">
      <c r="A73" s="43"/>
      <c r="B73" s="44">
        <f>IF(A73="","",YEAR(A73))</f>
      </c>
      <c r="C73" s="44">
        <f>IF(A73="","",WEEKNUM(A73,21))</f>
      </c>
      <c r="D73" s="45"/>
      <c r="E73" s="45"/>
      <c r="F73" s="45"/>
      <c r="G73" s="46"/>
    </row>
    <row r="74" spans="1:7" x14ac:dyDescent="0.25">
      <c r="A74" s="43"/>
      <c r="B74" s="44">
        <f>IF(A74="","",YEAR(A74))</f>
      </c>
      <c r="C74" s="44">
        <f>IF(A74="","",WEEKNUM(A74,21))</f>
      </c>
      <c r="D74" s="45"/>
      <c r="E74" s="45"/>
      <c r="F74" s="45"/>
      <c r="G74" s="46"/>
    </row>
    <row r="75" spans="1:7" x14ac:dyDescent="0.25">
      <c r="A75" s="43"/>
      <c r="B75" s="44">
        <f>IF(A75="","",YEAR(A75))</f>
      </c>
      <c r="C75" s="44">
        <f>IF(A75="","",WEEKNUM(A75,21))</f>
      </c>
      <c r="D75" s="45"/>
      <c r="E75" s="45"/>
      <c r="F75" s="45"/>
      <c r="G75" s="46"/>
    </row>
    <row r="76" spans="1:7" x14ac:dyDescent="0.25">
      <c r="A76" s="43"/>
      <c r="B76" s="44">
        <f>IF(A76="","",YEAR(A76))</f>
      </c>
      <c r="C76" s="44">
        <f>IF(A76="","",WEEKNUM(A76,21))</f>
      </c>
      <c r="D76" s="45"/>
      <c r="E76" s="45"/>
      <c r="F76" s="45"/>
      <c r="G76" s="46"/>
    </row>
    <row r="77" spans="1:7" x14ac:dyDescent="0.25">
      <c r="A77" s="43"/>
      <c r="B77" s="44">
        <f>IF(A77="","",YEAR(A77))</f>
      </c>
      <c r="C77" s="44">
        <f>IF(A77="","",WEEKNUM(A77,21))</f>
      </c>
      <c r="D77" s="45"/>
      <c r="E77" s="45"/>
      <c r="F77" s="45"/>
      <c r="G77" s="46"/>
    </row>
    <row r="78" spans="1:7" x14ac:dyDescent="0.25">
      <c r="A78" s="43"/>
      <c r="B78" s="44">
        <f>IF(A78="","",YEAR(A78))</f>
      </c>
      <c r="C78" s="44">
        <f>IF(A78="","",WEEKNUM(A78,21))</f>
      </c>
      <c r="D78" s="45"/>
      <c r="E78" s="45"/>
      <c r="F78" s="45"/>
      <c r="G78" s="46"/>
    </row>
    <row r="79" spans="1:7" x14ac:dyDescent="0.25">
      <c r="A79" s="43"/>
      <c r="B79" s="44">
        <f>IF(A79="","",YEAR(A79))</f>
      </c>
      <c r="C79" s="44">
        <f>IF(A79="","",WEEKNUM(A79,21))</f>
      </c>
      <c r="D79" s="45"/>
      <c r="E79" s="45"/>
      <c r="F79" s="45"/>
      <c r="G79" s="46"/>
    </row>
    <row r="80" spans="1:7" x14ac:dyDescent="0.25">
      <c r="A80" s="43"/>
      <c r="B80" s="44">
        <f>IF(A80="","",YEAR(A80))</f>
      </c>
      <c r="C80" s="44">
        <f>IF(A80="","",WEEKNUM(A80,21))</f>
      </c>
      <c r="D80" s="45"/>
      <c r="E80" s="45"/>
      <c r="F80" s="45"/>
      <c r="G80" s="46"/>
    </row>
    <row r="81" spans="1:7" x14ac:dyDescent="0.25">
      <c r="A81" s="43"/>
      <c r="B81" s="44">
        <f>IF(A81="","",YEAR(A81))</f>
      </c>
      <c r="C81" s="44">
        <f>IF(A81="","",WEEKNUM(A81,21))</f>
      </c>
      <c r="D81" s="45"/>
      <c r="E81" s="45"/>
      <c r="F81" s="45"/>
      <c r="G81" s="46"/>
    </row>
    <row r="82" spans="1:7" x14ac:dyDescent="0.25">
      <c r="A82" s="43"/>
      <c r="B82" s="44">
        <f>IF(A82="","",YEAR(A82))</f>
      </c>
      <c r="C82" s="44">
        <f>IF(A82="","",WEEKNUM(A82,21))</f>
      </c>
      <c r="D82" s="45"/>
      <c r="E82" s="45"/>
      <c r="F82" s="45"/>
      <c r="G82" s="46"/>
    </row>
    <row r="83" spans="1:7" x14ac:dyDescent="0.25">
      <c r="A83" s="43"/>
      <c r="B83" s="44">
        <f>IF(A83="","",YEAR(A83))</f>
      </c>
      <c r="C83" s="44">
        <f>IF(A83="","",WEEKNUM(A83,21))</f>
      </c>
      <c r="D83" s="45"/>
      <c r="E83" s="45"/>
      <c r="F83" s="45"/>
      <c r="G83" s="46"/>
    </row>
    <row r="84" spans="1:7" x14ac:dyDescent="0.25">
      <c r="A84" s="43"/>
      <c r="B84" s="44">
        <f>IF(A84="","",YEAR(A84))</f>
      </c>
      <c r="C84" s="44">
        <f>IF(A84="","",WEEKNUM(A84,21))</f>
      </c>
      <c r="D84" s="45"/>
      <c r="E84" s="45"/>
      <c r="F84" s="45"/>
      <c r="G84" s="46"/>
    </row>
    <row r="85" spans="1:7" x14ac:dyDescent="0.25">
      <c r="A85" s="43"/>
      <c r="B85" s="44">
        <f>IF(A85="","",YEAR(A85))</f>
      </c>
      <c r="C85" s="44">
        <f>IF(A85="","",WEEKNUM(A85,21))</f>
      </c>
      <c r="D85" s="45"/>
      <c r="E85" s="45"/>
      <c r="F85" s="45"/>
      <c r="G85" s="46"/>
    </row>
    <row r="86" spans="1:7" x14ac:dyDescent="0.25">
      <c r="A86" s="43"/>
      <c r="B86" s="44">
        <f>IF(A86="","",YEAR(A86))</f>
      </c>
      <c r="C86" s="44">
        <f>IF(A86="","",WEEKNUM(A86,21))</f>
      </c>
      <c r="D86" s="45"/>
      <c r="E86" s="45"/>
      <c r="F86" s="45"/>
      <c r="G86" s="46"/>
    </row>
    <row r="87" spans="1:7" x14ac:dyDescent="0.25">
      <c r="A87" s="43"/>
      <c r="B87" s="44">
        <f>IF(A87="","",YEAR(A87))</f>
      </c>
      <c r="C87" s="44">
        <f>IF(A87="","",WEEKNUM(A87,21))</f>
      </c>
      <c r="D87" s="45"/>
      <c r="E87" s="45"/>
      <c r="F87" s="45"/>
      <c r="G87" s="46"/>
    </row>
    <row r="88" spans="1:7" x14ac:dyDescent="0.25">
      <c r="A88" s="43"/>
      <c r="B88" s="44">
        <f>IF(A88="","",YEAR(A88))</f>
      </c>
      <c r="C88" s="44">
        <f>IF(A88="","",WEEKNUM(A88,21))</f>
      </c>
      <c r="D88" s="45"/>
      <c r="E88" s="45"/>
      <c r="F88" s="45"/>
      <c r="G88" s="46"/>
    </row>
    <row r="89" spans="1:7" x14ac:dyDescent="0.25">
      <c r="A89" s="43"/>
      <c r="B89" s="44">
        <f>IF(A89="","",YEAR(A89))</f>
      </c>
      <c r="C89" s="44">
        <f>IF(A89="","",WEEKNUM(A89,21))</f>
      </c>
      <c r="D89" s="45"/>
      <c r="E89" s="45"/>
      <c r="F89" s="45"/>
      <c r="G89" s="46"/>
    </row>
    <row r="90" spans="1:7" x14ac:dyDescent="0.25">
      <c r="A90" s="43"/>
      <c r="B90" s="44">
        <f>IF(A90="","",YEAR(A90))</f>
      </c>
      <c r="C90" s="44">
        <f>IF(A90="","",WEEKNUM(A90,21))</f>
      </c>
      <c r="D90" s="45"/>
      <c r="E90" s="45"/>
      <c r="F90" s="45"/>
      <c r="G90" s="46"/>
    </row>
    <row r="91" spans="1:7" x14ac:dyDescent="0.25">
      <c r="A91" s="43"/>
      <c r="B91" s="44">
        <f>IF(A91="","",YEAR(A91))</f>
      </c>
      <c r="C91" s="44">
        <f>IF(A91="","",WEEKNUM(A91,21))</f>
      </c>
      <c r="D91" s="45"/>
      <c r="E91" s="45"/>
      <c r="F91" s="45"/>
      <c r="G91" s="46"/>
    </row>
    <row r="92" spans="1:7" x14ac:dyDescent="0.25">
      <c r="A92" s="43"/>
      <c r="B92" s="44">
        <f>IF(A92="","",YEAR(A92))</f>
      </c>
      <c r="C92" s="44">
        <f>IF(A92="","",WEEKNUM(A92,21))</f>
      </c>
      <c r="D92" s="45"/>
      <c r="E92" s="45"/>
      <c r="F92" s="45"/>
      <c r="G92" s="46"/>
    </row>
    <row r="93" spans="1:7" x14ac:dyDescent="0.25">
      <c r="A93" s="43"/>
      <c r="B93" s="44">
        <f>IF(A93="","",YEAR(A93))</f>
      </c>
      <c r="C93" s="44">
        <f>IF(A93="","",WEEKNUM(A93,21))</f>
      </c>
      <c r="D93" s="45"/>
      <c r="E93" s="45"/>
      <c r="F93" s="45"/>
      <c r="G93" s="46"/>
    </row>
    <row r="94" spans="1:7" x14ac:dyDescent="0.25">
      <c r="A94" s="43"/>
      <c r="B94" s="44">
        <f>IF(A94="","",YEAR(A94))</f>
      </c>
      <c r="C94" s="44">
        <f>IF(A94="","",WEEKNUM(A94,21))</f>
      </c>
      <c r="D94" s="45"/>
      <c r="E94" s="45"/>
      <c r="F94" s="45"/>
      <c r="G94" s="46"/>
    </row>
    <row r="95" spans="1:7" x14ac:dyDescent="0.25">
      <c r="A95" s="43"/>
      <c r="B95" s="44">
        <f>IF(A95="","",YEAR(A95))</f>
      </c>
      <c r="C95" s="44">
        <f>IF(A95="","",WEEKNUM(A95,21))</f>
      </c>
      <c r="D95" s="45"/>
      <c r="E95" s="45"/>
      <c r="F95" s="45"/>
      <c r="G95" s="46"/>
    </row>
    <row r="96" spans="1:7" x14ac:dyDescent="0.25">
      <c r="A96" s="43"/>
      <c r="B96" s="44">
        <f>IF(A96="","",YEAR(A96))</f>
      </c>
      <c r="C96" s="44">
        <f>IF(A96="","",WEEKNUM(A96,21))</f>
      </c>
      <c r="D96" s="45"/>
      <c r="E96" s="45"/>
      <c r="F96" s="45"/>
      <c r="G96" s="46"/>
    </row>
    <row r="97" spans="1:7" x14ac:dyDescent="0.25">
      <c r="A97" s="43"/>
      <c r="B97" s="44">
        <f>IF(A97="","",YEAR(A97))</f>
      </c>
      <c r="C97" s="44">
        <f>IF(A97="","",WEEKNUM(A97,21))</f>
      </c>
      <c r="D97" s="45"/>
      <c r="E97" s="45"/>
      <c r="F97" s="45"/>
      <c r="G97" s="46"/>
    </row>
    <row r="98" spans="1:7" x14ac:dyDescent="0.25">
      <c r="A98" s="43"/>
      <c r="B98" s="44">
        <f>IF(A98="","",YEAR(A98))</f>
      </c>
      <c r="C98" s="44">
        <f>IF(A98="","",WEEKNUM(A98,21))</f>
      </c>
      <c r="D98" s="45"/>
      <c r="E98" s="45"/>
      <c r="F98" s="45"/>
      <c r="G98" s="46"/>
    </row>
    <row r="99" spans="1:7" x14ac:dyDescent="0.25">
      <c r="A99" s="43"/>
      <c r="B99" s="44">
        <f>IF(A99="","",YEAR(A99))</f>
      </c>
      <c r="C99" s="44">
        <f>IF(A99="","",WEEKNUM(A99,21))</f>
      </c>
      <c r="D99" s="45"/>
      <c r="E99" s="45"/>
      <c r="F99" s="45"/>
      <c r="G99" s="46"/>
    </row>
    <row r="100" spans="1:7" x14ac:dyDescent="0.25">
      <c r="A100" s="43"/>
      <c r="B100" s="44">
        <f>IF(A100="","",YEAR(A100))</f>
      </c>
      <c r="C100" s="44">
        <f>IF(A100="","",WEEKNUM(A100,21))</f>
      </c>
      <c r="D100" s="45"/>
      <c r="E100" s="45"/>
      <c r="F100" s="45"/>
      <c r="G100" s="46"/>
    </row>
    <row r="101" spans="1:7" x14ac:dyDescent="0.25">
      <c r="A101" s="43"/>
      <c r="B101" s="44">
        <f>IF(A101="","",YEAR(A101))</f>
      </c>
      <c r="C101" s="44">
        <f>IF(A101="","",WEEKNUM(A101,21))</f>
      </c>
      <c r="D101" s="45"/>
      <c r="E101" s="45"/>
      <c r="F101" s="45"/>
      <c r="G101" s="46"/>
    </row>
    <row r="102" spans="1:7" x14ac:dyDescent="0.25">
      <c r="A102" s="43"/>
      <c r="B102" s="44">
        <f>IF(A102="","",YEAR(A102))</f>
      </c>
      <c r="C102" s="44">
        <f>IF(A102="","",WEEKNUM(A102,21))</f>
      </c>
      <c r="D102" s="45"/>
      <c r="E102" s="45"/>
      <c r="F102" s="45"/>
      <c r="G102" s="46"/>
    </row>
    <row r="103" spans="1:7" x14ac:dyDescent="0.25">
      <c r="A103" s="43"/>
      <c r="B103" s="44">
        <f>IF(A103="","",YEAR(A103))</f>
      </c>
      <c r="C103" s="44">
        <f>IF(A103="","",WEEKNUM(A103,21))</f>
      </c>
      <c r="D103" s="45"/>
      <c r="E103" s="45"/>
      <c r="F103" s="45"/>
      <c r="G103" s="46"/>
    </row>
    <row r="104" spans="1:7" x14ac:dyDescent="0.25">
      <c r="A104" s="43"/>
      <c r="B104" s="44">
        <f>IF(A104="","",YEAR(A104))</f>
      </c>
      <c r="C104" s="44">
        <f>IF(A104="","",WEEKNUM(A104,21))</f>
      </c>
      <c r="D104" s="45"/>
      <c r="E104" s="45"/>
      <c r="F104" s="45"/>
      <c r="G104" s="46"/>
    </row>
    <row r="105" spans="1:7" x14ac:dyDescent="0.25">
      <c r="A105" s="43"/>
      <c r="B105" s="44">
        <f>IF(A105="","",YEAR(A105))</f>
      </c>
      <c r="C105" s="44">
        <f>IF(A105="","",WEEKNUM(A105,21))</f>
      </c>
      <c r="D105" s="45"/>
      <c r="E105" s="45"/>
      <c r="F105" s="45"/>
      <c r="G105" s="46"/>
    </row>
    <row r="106" spans="1:7" x14ac:dyDescent="0.25">
      <c r="A106" s="43"/>
      <c r="B106" s="44">
        <f>IF(A106="","",YEAR(A106))</f>
      </c>
      <c r="C106" s="44">
        <f>IF(A106="","",WEEKNUM(A106,21))</f>
      </c>
      <c r="D106" s="45"/>
      <c r="E106" s="45"/>
      <c r="F106" s="45"/>
      <c r="G106" s="46"/>
    </row>
    <row r="107" spans="1:7" x14ac:dyDescent="0.25">
      <c r="A107" s="43"/>
      <c r="B107" s="44">
        <f>IF(A107="","",YEAR(A107))</f>
      </c>
      <c r="C107" s="44">
        <f>IF(A107="","",WEEKNUM(A107,21))</f>
      </c>
      <c r="D107" s="45"/>
      <c r="E107" s="45"/>
      <c r="F107" s="45"/>
      <c r="G107" s="46"/>
    </row>
    <row r="108" spans="1:7" x14ac:dyDescent="0.25">
      <c r="A108" s="43"/>
      <c r="B108" s="44">
        <f>IF(A108="","",YEAR(A108))</f>
      </c>
      <c r="C108" s="44">
        <f>IF(A108="","",WEEKNUM(A108,21))</f>
      </c>
      <c r="D108" s="45"/>
      <c r="E108" s="45"/>
      <c r="F108" s="45"/>
      <c r="G108" s="46"/>
    </row>
    <row r="109" spans="1:7" x14ac:dyDescent="0.25">
      <c r="A109" s="43"/>
      <c r="B109" s="44">
        <f>IF(A109="","",YEAR(A109))</f>
      </c>
      <c r="C109" s="44">
        <f>IF(A109="","",WEEKNUM(A109,21))</f>
      </c>
      <c r="D109" s="45"/>
      <c r="E109" s="45"/>
      <c r="F109" s="45"/>
      <c r="G109" s="46"/>
    </row>
    <row r="110" spans="1:7" x14ac:dyDescent="0.25">
      <c r="A110" s="43"/>
      <c r="B110" s="44">
        <f>IF(A110="","",YEAR(A110))</f>
      </c>
      <c r="C110" s="44">
        <f>IF(A110="","",WEEKNUM(A110,21))</f>
      </c>
      <c r="D110" s="45"/>
      <c r="E110" s="45"/>
      <c r="F110" s="45"/>
      <c r="G110" s="46"/>
    </row>
    <row r="111" spans="1:7" x14ac:dyDescent="0.25">
      <c r="A111" s="43"/>
      <c r="B111" s="44">
        <f>IF(A111="","",YEAR(A111))</f>
      </c>
      <c r="C111" s="44">
        <f>IF(A111="","",WEEKNUM(A111,21))</f>
      </c>
      <c r="D111" s="45"/>
      <c r="E111" s="45"/>
      <c r="F111" s="45"/>
      <c r="G111" s="46"/>
    </row>
    <row r="112" spans="1:7" x14ac:dyDescent="0.25">
      <c r="A112" s="43"/>
      <c r="B112" s="44">
        <f>IF(A112="","",YEAR(A112))</f>
      </c>
      <c r="C112" s="44">
        <f>IF(A112="","",WEEKNUM(A112,21))</f>
      </c>
      <c r="D112" s="45"/>
      <c r="E112" s="45"/>
      <c r="F112" s="45"/>
      <c r="G112" s="46"/>
    </row>
    <row r="113" spans="1:7" x14ac:dyDescent="0.25">
      <c r="A113" s="43"/>
      <c r="B113" s="44">
        <f>IF(A113="","",YEAR(A113))</f>
      </c>
      <c r="C113" s="44">
        <f>IF(A113="","",WEEKNUM(A113,21))</f>
      </c>
      <c r="D113" s="45"/>
      <c r="E113" s="45"/>
      <c r="F113" s="45"/>
      <c r="G113" s="46"/>
    </row>
    <row r="114" spans="1:7" x14ac:dyDescent="0.25">
      <c r="A114" s="43"/>
      <c r="B114" s="44">
        <f>IF(A114="","",YEAR(A114))</f>
      </c>
      <c r="C114" s="44">
        <f>IF(A114="","",WEEKNUM(A114,21))</f>
      </c>
      <c r="D114" s="45"/>
      <c r="E114" s="45"/>
      <c r="F114" s="45"/>
      <c r="G114" s="46"/>
    </row>
    <row r="115" spans="1:7" x14ac:dyDescent="0.25">
      <c r="A115" s="43"/>
      <c r="B115" s="44">
        <f>IF(A115="","",YEAR(A115))</f>
      </c>
      <c r="C115" s="44">
        <f>IF(A115="","",WEEKNUM(A115,21))</f>
      </c>
      <c r="D115" s="45"/>
      <c r="E115" s="45"/>
      <c r="F115" s="45"/>
      <c r="G115" s="46"/>
    </row>
    <row r="116" spans="1:7" x14ac:dyDescent="0.25">
      <c r="A116" s="43"/>
      <c r="B116" s="44">
        <f>IF(A116="","",YEAR(A116))</f>
      </c>
      <c r="C116" s="44">
        <f>IF(A116="","",WEEKNUM(A116,21))</f>
      </c>
      <c r="D116" s="45"/>
      <c r="E116" s="45"/>
      <c r="F116" s="45"/>
      <c r="G116" s="46"/>
    </row>
    <row r="117" spans="1:7" x14ac:dyDescent="0.25">
      <c r="A117" s="43"/>
      <c r="B117" s="44">
        <f>IF(A117="","",YEAR(A117))</f>
      </c>
      <c r="C117" s="44">
        <f>IF(A117="","",WEEKNUM(A117,21))</f>
      </c>
      <c r="D117" s="45"/>
      <c r="E117" s="45"/>
      <c r="F117" s="45"/>
      <c r="G117" s="46"/>
    </row>
    <row r="118" spans="1:7" x14ac:dyDescent="0.25">
      <c r="A118" s="43"/>
      <c r="B118" s="44">
        <f>IF(A118="","",YEAR(A118))</f>
      </c>
      <c r="C118" s="44">
        <f>IF(A118="","",WEEKNUM(A118,21))</f>
      </c>
      <c r="D118" s="45"/>
      <c r="E118" s="45"/>
      <c r="F118" s="45"/>
      <c r="G118" s="46"/>
    </row>
    <row r="119" spans="1:7" x14ac:dyDescent="0.25">
      <c r="A119" s="43"/>
      <c r="B119" s="44">
        <f>IF(A119="","",YEAR(A119))</f>
      </c>
      <c r="C119" s="44">
        <f>IF(A119="","",WEEKNUM(A119,21))</f>
      </c>
      <c r="D119" s="45"/>
      <c r="E119" s="45"/>
      <c r="F119" s="45"/>
      <c r="G119" s="46"/>
    </row>
    <row r="120" spans="1:7" x14ac:dyDescent="0.25">
      <c r="A120" s="43"/>
      <c r="B120" s="44">
        <f>IF(A120="","",YEAR(A120))</f>
      </c>
      <c r="C120" s="44">
        <f>IF(A120="","",WEEKNUM(A120,21))</f>
      </c>
      <c r="D120" s="45"/>
      <c r="E120" s="45"/>
      <c r="F120" s="45"/>
      <c r="G120" s="46"/>
    </row>
    <row r="121" spans="1:7" x14ac:dyDescent="0.25">
      <c r="A121" s="43"/>
      <c r="B121" s="44">
        <f>IF(A121="","",YEAR(A121))</f>
      </c>
      <c r="C121" s="44">
        <f>IF(A121="","",WEEKNUM(A121,21))</f>
      </c>
      <c r="D121" s="45"/>
      <c r="E121" s="45"/>
      <c r="F121" s="45"/>
      <c r="G121" s="46"/>
    </row>
    <row r="122" spans="1:7" x14ac:dyDescent="0.25">
      <c r="A122" s="43"/>
      <c r="B122" s="44">
        <f>IF(A122="","",YEAR(A122))</f>
      </c>
      <c r="C122" s="44">
        <f>IF(A122="","",WEEKNUM(A122,21))</f>
      </c>
      <c r="D122" s="45"/>
      <c r="E122" s="45"/>
      <c r="F122" s="45"/>
      <c r="G122" s="46"/>
    </row>
    <row r="123" spans="1:7" x14ac:dyDescent="0.25">
      <c r="A123" s="43"/>
      <c r="B123" s="44">
        <f>IF(A123="","",YEAR(A123))</f>
      </c>
      <c r="C123" s="44">
        <f>IF(A123="","",WEEKNUM(A123,21))</f>
      </c>
      <c r="D123" s="45"/>
      <c r="E123" s="45"/>
      <c r="F123" s="45"/>
      <c r="G123" s="46"/>
    </row>
    <row r="124" spans="1:7" x14ac:dyDescent="0.25">
      <c r="A124" s="43"/>
      <c r="B124" s="44">
        <f>IF(A124="","",YEAR(A124))</f>
      </c>
      <c r="C124" s="44">
        <f>IF(A124="","",WEEKNUM(A124,21))</f>
      </c>
      <c r="D124" s="45"/>
      <c r="E124" s="45"/>
      <c r="F124" s="45"/>
      <c r="G124" s="46"/>
    </row>
    <row r="125" spans="1:7" x14ac:dyDescent="0.25">
      <c r="A125" s="43"/>
      <c r="B125" s="44">
        <f>IF(A125="","",YEAR(A125))</f>
      </c>
      <c r="C125" s="44">
        <f>IF(A125="","",WEEKNUM(A125,21))</f>
      </c>
      <c r="D125" s="45"/>
      <c r="E125" s="45"/>
      <c r="F125" s="45"/>
      <c r="G125" s="46"/>
    </row>
    <row r="126" spans="1:7" x14ac:dyDescent="0.25">
      <c r="A126" s="43"/>
      <c r="B126" s="44">
        <f>IF(A126="","",YEAR(A126))</f>
      </c>
      <c r="C126" s="44">
        <f>IF(A126="","",WEEKNUM(A126,21))</f>
      </c>
      <c r="D126" s="45"/>
      <c r="E126" s="45"/>
      <c r="F126" s="45"/>
      <c r="G126" s="46"/>
    </row>
    <row r="127" spans="1:7" x14ac:dyDescent="0.25">
      <c r="A127" s="43"/>
      <c r="B127" s="44">
        <f>IF(A127="","",YEAR(A127))</f>
      </c>
      <c r="C127" s="44">
        <f>IF(A127="","",WEEKNUM(A127,21))</f>
      </c>
      <c r="D127" s="45"/>
      <c r="E127" s="45"/>
      <c r="F127" s="45"/>
      <c r="G127" s="46"/>
    </row>
    <row r="128" spans="1:7" x14ac:dyDescent="0.25">
      <c r="A128" s="43"/>
      <c r="B128" s="44">
        <f>IF(A128="","",YEAR(A128))</f>
      </c>
      <c r="C128" s="44">
        <f>IF(A128="","",WEEKNUM(A128,21))</f>
      </c>
      <c r="D128" s="45"/>
      <c r="E128" s="45"/>
      <c r="F128" s="45"/>
      <c r="G128" s="46"/>
    </row>
    <row r="129" spans="1:7" x14ac:dyDescent="0.25">
      <c r="A129" s="43"/>
      <c r="B129" s="44">
        <f>IF(A129="","",YEAR(A129))</f>
      </c>
      <c r="C129" s="44">
        <f>IF(A129="","",WEEKNUM(A129,21))</f>
      </c>
      <c r="D129" s="45"/>
      <c r="E129" s="45"/>
      <c r="F129" s="45"/>
      <c r="G129" s="46"/>
    </row>
    <row r="130" spans="1:7" x14ac:dyDescent="0.25">
      <c r="A130" s="43"/>
      <c r="B130" s="44">
        <f>IF(A130="","",YEAR(A130))</f>
      </c>
      <c r="C130" s="44">
        <f>IF(A130="","",WEEKNUM(A130,21))</f>
      </c>
      <c r="D130" s="45"/>
      <c r="E130" s="45"/>
      <c r="F130" s="45"/>
      <c r="G130" s="46"/>
    </row>
    <row r="131" spans="1:7" x14ac:dyDescent="0.25">
      <c r="A131" s="43"/>
      <c r="B131" s="44">
        <f>IF(A131="","",YEAR(A131))</f>
      </c>
      <c r="C131" s="44">
        <f>IF(A131="","",WEEKNUM(A131,21))</f>
      </c>
      <c r="D131" s="45"/>
      <c r="E131" s="45"/>
      <c r="F131" s="45"/>
      <c r="G131" s="46"/>
    </row>
    <row r="132" spans="1:7" x14ac:dyDescent="0.25">
      <c r="A132" s="43"/>
      <c r="B132" s="44">
        <f>IF(A132="","",YEAR(A132))</f>
      </c>
      <c r="C132" s="44">
        <f>IF(A132="","",WEEKNUM(A132,21))</f>
      </c>
      <c r="D132" s="45"/>
      <c r="E132" s="45"/>
      <c r="F132" s="45"/>
      <c r="G132" s="46"/>
    </row>
    <row r="133" spans="1:7" x14ac:dyDescent="0.25">
      <c r="A133" s="43"/>
      <c r="B133" s="44">
        <f>IF(A133="","",YEAR(A133))</f>
      </c>
      <c r="C133" s="44">
        <f>IF(A133="","",WEEKNUM(A133,21))</f>
      </c>
      <c r="D133" s="45"/>
      <c r="E133" s="45"/>
      <c r="F133" s="45"/>
      <c r="G133" s="46"/>
    </row>
    <row r="134" spans="1:7" x14ac:dyDescent="0.25">
      <c r="A134" s="43"/>
      <c r="B134" s="44">
        <f>IF(A134="","",YEAR(A134))</f>
      </c>
      <c r="C134" s="44">
        <f>IF(A134="","",WEEKNUM(A134,21))</f>
      </c>
      <c r="D134" s="45"/>
      <c r="E134" s="45"/>
      <c r="F134" s="45"/>
      <c r="G134" s="46"/>
    </row>
    <row r="135" spans="1:7" x14ac:dyDescent="0.25">
      <c r="A135" s="43"/>
      <c r="B135" s="44">
        <f>IF(A135="","",YEAR(A135))</f>
      </c>
      <c r="C135" s="44">
        <f>IF(A135="","",WEEKNUM(A135,21))</f>
      </c>
      <c r="D135" s="45"/>
      <c r="E135" s="45"/>
      <c r="F135" s="45"/>
      <c r="G135" s="46"/>
    </row>
    <row r="136" spans="1:7" x14ac:dyDescent="0.25">
      <c r="A136" s="43"/>
      <c r="B136" s="44">
        <f>IF(A136="","",YEAR(A136))</f>
      </c>
      <c r="C136" s="44">
        <f>IF(A136="","",WEEKNUM(A136,21))</f>
      </c>
      <c r="D136" s="45"/>
      <c r="E136" s="45"/>
      <c r="F136" s="45"/>
      <c r="G136" s="46"/>
    </row>
    <row r="137" spans="1:7" x14ac:dyDescent="0.25">
      <c r="A137" s="43"/>
      <c r="B137" s="44">
        <f>IF(A137="","",YEAR(A137))</f>
      </c>
      <c r="C137" s="44">
        <f>IF(A137="","",WEEKNUM(A137,21))</f>
      </c>
      <c r="D137" s="45"/>
      <c r="E137" s="45"/>
      <c r="F137" s="45"/>
      <c r="G137" s="46"/>
    </row>
    <row r="138" spans="1:7" x14ac:dyDescent="0.25">
      <c r="A138" s="43"/>
      <c r="B138" s="44">
        <f>IF(A138="","",YEAR(A138))</f>
      </c>
      <c r="C138" s="44">
        <f>IF(A138="","",WEEKNUM(A138,21))</f>
      </c>
      <c r="D138" s="45"/>
      <c r="E138" s="45"/>
      <c r="F138" s="45"/>
      <c r="G138" s="46"/>
    </row>
    <row r="139" spans="1:7" x14ac:dyDescent="0.25">
      <c r="A139" s="43"/>
      <c r="B139" s="44">
        <f>IF(A139="","",YEAR(A139))</f>
      </c>
      <c r="C139" s="44">
        <f>IF(A139="","",WEEKNUM(A139,21))</f>
      </c>
      <c r="D139" s="45"/>
      <c r="E139" s="45"/>
      <c r="F139" s="45"/>
      <c r="G139" s="46"/>
    </row>
    <row r="140" spans="1:7" x14ac:dyDescent="0.25">
      <c r="A140" s="43"/>
      <c r="B140" s="44">
        <f>IF(A140="","",YEAR(A140))</f>
      </c>
      <c r="C140" s="44">
        <f>IF(A140="","",WEEKNUM(A140,21))</f>
      </c>
      <c r="D140" s="45"/>
      <c r="E140" s="45"/>
      <c r="F140" s="45"/>
      <c r="G140" s="46"/>
    </row>
    <row r="141" spans="1:7" x14ac:dyDescent="0.25">
      <c r="A141" s="43"/>
      <c r="B141" s="44">
        <f>IF(A141="","",YEAR(A141))</f>
      </c>
      <c r="C141" s="44">
        <f>IF(A141="","",WEEKNUM(A141,21))</f>
      </c>
      <c r="D141" s="45"/>
      <c r="E141" s="45"/>
      <c r="F141" s="45"/>
      <c r="G141" s="46"/>
    </row>
    <row r="142" spans="1:7" x14ac:dyDescent="0.25">
      <c r="A142" s="43"/>
      <c r="B142" s="44">
        <f>IF(A142="","",YEAR(A142))</f>
      </c>
      <c r="C142" s="44">
        <f>IF(A142="","",WEEKNUM(A142,21))</f>
      </c>
      <c r="D142" s="45"/>
      <c r="E142" s="45"/>
      <c r="F142" s="45"/>
      <c r="G142" s="46"/>
    </row>
    <row r="143" spans="1:7" x14ac:dyDescent="0.25">
      <c r="A143" s="43"/>
      <c r="B143" s="44">
        <f>IF(A143="","",YEAR(A143))</f>
      </c>
      <c r="C143" s="44">
        <f>IF(A143="","",WEEKNUM(A143,21))</f>
      </c>
      <c r="D143" s="45"/>
      <c r="E143" s="45"/>
      <c r="F143" s="45"/>
      <c r="G143" s="46"/>
    </row>
    <row r="144" spans="1:7" x14ac:dyDescent="0.25">
      <c r="A144" s="43"/>
      <c r="B144" s="44">
        <f>IF(A144="","",YEAR(A144))</f>
      </c>
      <c r="C144" s="44">
        <f>IF(A144="","",WEEKNUM(A144,21))</f>
      </c>
      <c r="D144" s="45"/>
      <c r="E144" s="45"/>
      <c r="F144" s="45"/>
      <c r="G144" s="46"/>
    </row>
    <row r="145" spans="1:7" x14ac:dyDescent="0.25">
      <c r="A145" s="43"/>
      <c r="B145" s="44">
        <f>IF(A145="","",YEAR(A145))</f>
      </c>
      <c r="C145" s="44">
        <f>IF(A145="","",WEEKNUM(A145,21))</f>
      </c>
      <c r="D145" s="45"/>
      <c r="E145" s="45"/>
      <c r="F145" s="45"/>
      <c r="G145" s="46"/>
    </row>
    <row r="146" spans="1:7" x14ac:dyDescent="0.25">
      <c r="A146" s="43"/>
      <c r="B146" s="44">
        <f>IF(A146="","",YEAR(A146))</f>
      </c>
      <c r="C146" s="44">
        <f>IF(A146="","",WEEKNUM(A146,21))</f>
      </c>
      <c r="D146" s="45"/>
      <c r="E146" s="45"/>
      <c r="F146" s="45"/>
      <c r="G146" s="46"/>
    </row>
    <row r="147" spans="1:7" x14ac:dyDescent="0.25">
      <c r="A147" s="43"/>
      <c r="B147" s="44">
        <f>IF(A147="","",YEAR(A147))</f>
      </c>
      <c r="C147" s="44">
        <f>IF(A147="","",WEEKNUM(A147,21))</f>
      </c>
      <c r="D147" s="45"/>
      <c r="E147" s="45"/>
      <c r="F147" s="45"/>
      <c r="G147" s="46"/>
    </row>
    <row r="148" spans="1:7" x14ac:dyDescent="0.25">
      <c r="A148" s="43"/>
      <c r="B148" s="44">
        <f>IF(A148="","",YEAR(A148))</f>
      </c>
      <c r="C148" s="44">
        <f>IF(A148="","",WEEKNUM(A148,21))</f>
      </c>
      <c r="D148" s="45"/>
      <c r="E148" s="45"/>
      <c r="F148" s="45"/>
      <c r="G148" s="46"/>
    </row>
    <row r="149" spans="1:7" x14ac:dyDescent="0.25">
      <c r="A149" s="43"/>
      <c r="B149" s="44">
        <f>IF(A149="","",YEAR(A149))</f>
      </c>
      <c r="C149" s="44">
        <f>IF(A149="","",WEEKNUM(A149,21))</f>
      </c>
      <c r="D149" s="45"/>
      <c r="E149" s="45"/>
      <c r="F149" s="45"/>
      <c r="G149" s="46"/>
    </row>
    <row r="150" spans="1:7" x14ac:dyDescent="0.25">
      <c r="A150" s="43"/>
      <c r="B150" s="44">
        <f>IF(A150="","",YEAR(A150))</f>
      </c>
      <c r="C150" s="44">
        <f>IF(A150="","",WEEKNUM(A150,21))</f>
      </c>
      <c r="D150" s="45"/>
      <c r="E150" s="45"/>
      <c r="F150" s="45"/>
      <c r="G150" s="46"/>
    </row>
    <row r="151" spans="1:7" x14ac:dyDescent="0.25">
      <c r="A151" s="43"/>
      <c r="B151" s="44">
        <f>IF(A151="","",YEAR(A151))</f>
      </c>
      <c r="C151" s="44">
        <f>IF(A151="","",WEEKNUM(A151,21))</f>
      </c>
      <c r="D151" s="45"/>
      <c r="E151" s="45"/>
      <c r="F151" s="45"/>
      <c r="G151" s="46"/>
    </row>
    <row r="152" spans="1:7" x14ac:dyDescent="0.25">
      <c r="A152" s="43"/>
      <c r="B152" s="44">
        <f>IF(A152="","",YEAR(A152))</f>
      </c>
      <c r="C152" s="44">
        <f>IF(A152="","",WEEKNUM(A152,21))</f>
      </c>
      <c r="D152" s="45"/>
      <c r="E152" s="45"/>
      <c r="F152" s="45"/>
      <c r="G152" s="46"/>
    </row>
    <row r="153" spans="1:7" x14ac:dyDescent="0.25">
      <c r="A153" s="43"/>
      <c r="B153" s="44">
        <f>IF(A153="","",YEAR(A153))</f>
      </c>
      <c r="C153" s="44">
        <f>IF(A153="","",WEEKNUM(A153,21))</f>
      </c>
      <c r="D153" s="45"/>
      <c r="E153" s="45"/>
      <c r="F153" s="45"/>
      <c r="G153" s="46"/>
    </row>
    <row r="154" spans="1:7" x14ac:dyDescent="0.25">
      <c r="A154" s="43"/>
      <c r="B154" s="44">
        <f>IF(A154="","",YEAR(A154))</f>
      </c>
      <c r="C154" s="44">
        <f>IF(A154="","",WEEKNUM(A154,21))</f>
      </c>
      <c r="D154" s="45"/>
      <c r="E154" s="45"/>
      <c r="F154" s="45"/>
      <c r="G154" s="46"/>
    </row>
    <row r="155" spans="1:7" x14ac:dyDescent="0.25">
      <c r="A155" s="43"/>
      <c r="B155" s="44">
        <f>IF(A155="","",YEAR(A155))</f>
      </c>
      <c r="C155" s="44">
        <f>IF(A155="","",WEEKNUM(A155,21))</f>
      </c>
      <c r="D155" s="45"/>
      <c r="E155" s="45"/>
      <c r="F155" s="45"/>
      <c r="G155" s="46"/>
    </row>
    <row r="156" spans="1:7" x14ac:dyDescent="0.25">
      <c r="A156" s="43"/>
      <c r="B156" s="44">
        <f>IF(A156="","",YEAR(A156))</f>
      </c>
      <c r="C156" s="44">
        <f>IF(A156="","",WEEKNUM(A156,21))</f>
      </c>
      <c r="D156" s="45"/>
      <c r="E156" s="45"/>
      <c r="F156" s="45"/>
      <c r="G156" s="46"/>
    </row>
    <row r="157" spans="1:7" x14ac:dyDescent="0.25">
      <c r="A157" s="43"/>
      <c r="B157" s="44">
        <f>IF(A157="","",YEAR(A157))</f>
      </c>
      <c r="C157" s="44">
        <f>IF(A157="","",WEEKNUM(A157,21))</f>
      </c>
      <c r="D157" s="45"/>
      <c r="E157" s="45"/>
      <c r="F157" s="45"/>
      <c r="G157" s="46"/>
    </row>
    <row r="158" spans="1:7" x14ac:dyDescent="0.25">
      <c r="A158" s="43"/>
      <c r="B158" s="44">
        <f>IF(A158="","",YEAR(A158))</f>
      </c>
      <c r="C158" s="44">
        <f>IF(A158="","",WEEKNUM(A158,21))</f>
      </c>
      <c r="D158" s="45"/>
      <c r="E158" s="45"/>
      <c r="F158" s="45"/>
      <c r="G158" s="46"/>
    </row>
    <row r="159" spans="1:7" x14ac:dyDescent="0.25">
      <c r="A159" s="43"/>
      <c r="B159" s="44">
        <f>IF(A159="","",YEAR(A159))</f>
      </c>
      <c r="C159" s="44">
        <f>IF(A159="","",WEEKNUM(A159,21))</f>
      </c>
      <c r="D159" s="45"/>
      <c r="E159" s="45"/>
      <c r="F159" s="45"/>
      <c r="G159" s="46"/>
    </row>
    <row r="160" spans="1:7" x14ac:dyDescent="0.25">
      <c r="A160" s="43"/>
      <c r="B160" s="44">
        <f>IF(A160="","",YEAR(A160))</f>
      </c>
      <c r="C160" s="44">
        <f>IF(A160="","",WEEKNUM(A160,21))</f>
      </c>
      <c r="D160" s="45"/>
      <c r="E160" s="45"/>
      <c r="F160" s="45"/>
      <c r="G160" s="46"/>
    </row>
    <row r="161" spans="1:7" x14ac:dyDescent="0.25">
      <c r="A161" s="43"/>
      <c r="B161" s="44">
        <f>IF(A161="","",YEAR(A161))</f>
      </c>
      <c r="C161" s="44">
        <f>IF(A161="","",WEEKNUM(A161,21))</f>
      </c>
      <c r="D161" s="45"/>
      <c r="E161" s="45"/>
      <c r="F161" s="45"/>
      <c r="G161" s="46"/>
    </row>
    <row r="162" spans="1:7" x14ac:dyDescent="0.25">
      <c r="A162" s="43"/>
      <c r="B162" s="44">
        <f>IF(A162="","",YEAR(A162))</f>
      </c>
      <c r="C162" s="44">
        <f>IF(A162="","",WEEKNUM(A162,21))</f>
      </c>
      <c r="D162" s="45"/>
      <c r="E162" s="45"/>
      <c r="F162" s="45"/>
      <c r="G162" s="46"/>
    </row>
    <row r="163" spans="1:7" x14ac:dyDescent="0.25">
      <c r="A163" s="43"/>
      <c r="B163" s="44">
        <f>IF(A163="","",YEAR(A163))</f>
      </c>
      <c r="C163" s="44">
        <f>IF(A163="","",WEEKNUM(A163,21))</f>
      </c>
      <c r="D163" s="45"/>
      <c r="E163" s="45"/>
      <c r="F163" s="45"/>
      <c r="G163" s="46"/>
    </row>
    <row r="164" spans="1:7" x14ac:dyDescent="0.25">
      <c r="A164" s="43"/>
      <c r="B164" s="44">
        <f>IF(A164="","",YEAR(A164))</f>
      </c>
      <c r="C164" s="44">
        <f>IF(A164="","",WEEKNUM(A164,21))</f>
      </c>
      <c r="D164" s="45"/>
      <c r="E164" s="45"/>
      <c r="F164" s="45"/>
      <c r="G164" s="46"/>
    </row>
    <row r="165" spans="1:7" x14ac:dyDescent="0.25">
      <c r="A165" s="43"/>
      <c r="B165" s="44">
        <f>IF(A165="","",YEAR(A165))</f>
      </c>
      <c r="C165" s="44">
        <f>IF(A165="","",WEEKNUM(A165,21))</f>
      </c>
      <c r="D165" s="45"/>
      <c r="E165" s="45"/>
      <c r="F165" s="45"/>
      <c r="G165" s="46"/>
    </row>
    <row r="166" spans="1:7" x14ac:dyDescent="0.25">
      <c r="A166" s="43"/>
      <c r="B166" s="44">
        <f>IF(A166="","",YEAR(A166))</f>
      </c>
      <c r="C166" s="44">
        <f>IF(A166="","",WEEKNUM(A166,21))</f>
      </c>
      <c r="D166" s="45"/>
      <c r="E166" s="45"/>
      <c r="F166" s="45"/>
      <c r="G166" s="46"/>
    </row>
    <row r="167" spans="1:7" x14ac:dyDescent="0.25">
      <c r="A167" s="43"/>
      <c r="B167" s="44">
        <f>IF(A167="","",YEAR(A167))</f>
      </c>
      <c r="C167" s="44">
        <f>IF(A167="","",WEEKNUM(A167,21))</f>
      </c>
      <c r="D167" s="45"/>
      <c r="E167" s="45"/>
      <c r="F167" s="45"/>
      <c r="G167" s="46"/>
    </row>
    <row r="168" spans="1:7" x14ac:dyDescent="0.25">
      <c r="A168" s="43"/>
      <c r="B168" s="44">
        <f>IF(A168="","",YEAR(A168))</f>
      </c>
      <c r="C168" s="44">
        <f>IF(A168="","",WEEKNUM(A168,21))</f>
      </c>
      <c r="D168" s="45"/>
      <c r="E168" s="45"/>
      <c r="F168" s="45"/>
      <c r="G168" s="46"/>
    </row>
    <row r="169" spans="1:7" x14ac:dyDescent="0.25">
      <c r="A169" s="43"/>
      <c r="B169" s="44">
        <f>IF(A169="","",YEAR(A169))</f>
      </c>
      <c r="C169" s="44">
        <f>IF(A169="","",WEEKNUM(A169,21))</f>
      </c>
      <c r="D169" s="45"/>
      <c r="E169" s="45"/>
      <c r="F169" s="45"/>
      <c r="G169" s="46"/>
    </row>
    <row r="170" spans="1:7" x14ac:dyDescent="0.25">
      <c r="A170" s="43"/>
      <c r="B170" s="44">
        <f>IF(A170="","",YEAR(A170))</f>
      </c>
      <c r="C170" s="44">
        <f>IF(A170="","",WEEKNUM(A170,21))</f>
      </c>
      <c r="D170" s="45"/>
      <c r="E170" s="45"/>
      <c r="F170" s="45"/>
      <c r="G170" s="46"/>
    </row>
    <row r="171" spans="1:7" x14ac:dyDescent="0.25">
      <c r="A171" s="43"/>
      <c r="B171" s="44">
        <f>IF(A171="","",YEAR(A171))</f>
      </c>
      <c r="C171" s="44">
        <f>IF(A171="","",WEEKNUM(A171,21))</f>
      </c>
      <c r="D171" s="45"/>
      <c r="E171" s="45"/>
      <c r="F171" s="45"/>
      <c r="G171" s="46"/>
    </row>
    <row r="172" spans="1:7" x14ac:dyDescent="0.25">
      <c r="A172" s="43"/>
      <c r="B172" s="44">
        <f>IF(A172="","",YEAR(A172))</f>
      </c>
      <c r="C172" s="44">
        <f>IF(A172="","",WEEKNUM(A172,21))</f>
      </c>
      <c r="D172" s="45"/>
      <c r="E172" s="45"/>
      <c r="F172" s="45"/>
      <c r="G172" s="46"/>
    </row>
    <row r="173" spans="1:7" x14ac:dyDescent="0.25">
      <c r="A173" s="43"/>
      <c r="B173" s="44">
        <f>IF(A173="","",YEAR(A173))</f>
      </c>
      <c r="C173" s="44">
        <f>IF(A173="","",WEEKNUM(A173,21))</f>
      </c>
      <c r="D173" s="45"/>
      <c r="E173" s="45"/>
      <c r="F173" s="45"/>
      <c r="G173" s="46"/>
    </row>
    <row r="174" spans="1:7" x14ac:dyDescent="0.25">
      <c r="A174" s="43"/>
      <c r="B174" s="44">
        <f>IF(A174="","",YEAR(A174))</f>
      </c>
      <c r="C174" s="44">
        <f>IF(A174="","",WEEKNUM(A174,21))</f>
      </c>
      <c r="D174" s="45"/>
      <c r="E174" s="45"/>
      <c r="F174" s="45"/>
      <c r="G174" s="46"/>
    </row>
    <row r="175" spans="1:7" x14ac:dyDescent="0.25">
      <c r="A175" s="43"/>
      <c r="B175" s="44">
        <f>IF(A175="","",YEAR(A175))</f>
      </c>
      <c r="C175" s="44">
        <f>IF(A175="","",WEEKNUM(A175,21))</f>
      </c>
      <c r="D175" s="45"/>
      <c r="E175" s="45"/>
      <c r="F175" s="45"/>
      <c r="G175" s="46"/>
    </row>
    <row r="176" spans="1:7" x14ac:dyDescent="0.25">
      <c r="A176" s="43"/>
      <c r="B176" s="44">
        <f>IF(A176="","",YEAR(A176))</f>
      </c>
      <c r="C176" s="44">
        <f>IF(A176="","",WEEKNUM(A176,21))</f>
      </c>
      <c r="D176" s="45"/>
      <c r="E176" s="45"/>
      <c r="F176" s="45"/>
      <c r="G176" s="46"/>
    </row>
    <row r="177" spans="1:7" x14ac:dyDescent="0.25">
      <c r="A177" s="43"/>
      <c r="B177" s="44">
        <f>IF(A177="","",YEAR(A177))</f>
      </c>
      <c r="C177" s="44">
        <f>IF(A177="","",WEEKNUM(A177,21))</f>
      </c>
      <c r="D177" s="45"/>
      <c r="E177" s="45"/>
      <c r="F177" s="45"/>
      <c r="G177" s="46"/>
    </row>
    <row r="178" spans="1:7" x14ac:dyDescent="0.25">
      <c r="A178" s="43"/>
      <c r="B178" s="44">
        <f>IF(A178="","",YEAR(A178))</f>
      </c>
      <c r="C178" s="44">
        <f>IF(A178="","",WEEKNUM(A178,21))</f>
      </c>
      <c r="D178" s="45"/>
      <c r="E178" s="45"/>
      <c r="F178" s="45"/>
      <c r="G178" s="46"/>
    </row>
    <row r="179" spans="1:7" x14ac:dyDescent="0.25">
      <c r="A179" s="43"/>
      <c r="B179" s="44">
        <f>IF(A179="","",YEAR(A179))</f>
      </c>
      <c r="C179" s="44">
        <f>IF(A179="","",WEEKNUM(A179,21))</f>
      </c>
      <c r="D179" s="45"/>
      <c r="E179" s="45"/>
      <c r="F179" s="45"/>
      <c r="G179" s="46"/>
    </row>
    <row r="180" spans="1:7" x14ac:dyDescent="0.25">
      <c r="A180" s="43"/>
      <c r="B180" s="44">
        <f>IF(A180="","",YEAR(A180))</f>
      </c>
      <c r="C180" s="44">
        <f>IF(A180="","",WEEKNUM(A180,21))</f>
      </c>
      <c r="D180" s="45"/>
      <c r="E180" s="45"/>
      <c r="F180" s="45"/>
      <c r="G180" s="46"/>
    </row>
    <row r="181" spans="1:7" x14ac:dyDescent="0.25">
      <c r="A181" s="43"/>
      <c r="B181" s="44">
        <f>IF(A181="","",YEAR(A181))</f>
      </c>
      <c r="C181" s="44">
        <f>IF(A181="","",WEEKNUM(A181,21))</f>
      </c>
      <c r="D181" s="45"/>
      <c r="E181" s="45"/>
      <c r="F181" s="45"/>
      <c r="G181" s="46"/>
    </row>
    <row r="182" spans="1:7" x14ac:dyDescent="0.25">
      <c r="A182" s="43"/>
      <c r="B182" s="44">
        <f>IF(A182="","",YEAR(A182))</f>
      </c>
      <c r="C182" s="44">
        <f>IF(A182="","",WEEKNUM(A182,21))</f>
      </c>
      <c r="D182" s="45"/>
      <c r="E182" s="45"/>
      <c r="F182" s="45"/>
      <c r="G182" s="46"/>
    </row>
    <row r="183" spans="1:7" x14ac:dyDescent="0.25">
      <c r="A183" s="43"/>
      <c r="B183" s="44">
        <f>IF(A183="","",YEAR(A183))</f>
      </c>
      <c r="C183" s="44">
        <f>IF(A183="","",WEEKNUM(A183,21))</f>
      </c>
      <c r="D183" s="45"/>
      <c r="E183" s="45"/>
      <c r="F183" s="45"/>
      <c r="G183" s="46"/>
    </row>
    <row r="184" spans="1:7" x14ac:dyDescent="0.25">
      <c r="A184" s="43"/>
      <c r="B184" s="44">
        <f>IF(A184="","",YEAR(A184))</f>
      </c>
      <c r="C184" s="44">
        <f>IF(A184="","",WEEKNUM(A184,21))</f>
      </c>
      <c r="D184" s="45"/>
      <c r="E184" s="45"/>
      <c r="F184" s="45"/>
      <c r="G184" s="46"/>
    </row>
    <row r="185" spans="1:7" x14ac:dyDescent="0.25">
      <c r="A185" s="43"/>
      <c r="B185" s="44">
        <f>IF(A185="","",YEAR(A185))</f>
      </c>
      <c r="C185" s="44">
        <f>IF(A185="","",WEEKNUM(A185,21))</f>
      </c>
      <c r="D185" s="45"/>
      <c r="E185" s="45"/>
      <c r="F185" s="45"/>
      <c r="G185" s="46"/>
    </row>
    <row r="186" spans="1:7" x14ac:dyDescent="0.25">
      <c r="A186" s="43"/>
      <c r="B186" s="44">
        <f>IF(A186="","",YEAR(A186))</f>
      </c>
      <c r="C186" s="44">
        <f>IF(A186="","",WEEKNUM(A186,21))</f>
      </c>
      <c r="D186" s="45"/>
      <c r="E186" s="45"/>
      <c r="F186" s="45"/>
      <c r="G186" s="46"/>
    </row>
    <row r="187" spans="1:7" x14ac:dyDescent="0.25">
      <c r="A187" s="43"/>
      <c r="B187" s="44">
        <f>IF(A187="","",YEAR(A187))</f>
      </c>
      <c r="C187" s="44">
        <f>IF(A187="","",WEEKNUM(A187,21))</f>
      </c>
      <c r="D187" s="45"/>
      <c r="E187" s="45"/>
      <c r="F187" s="45"/>
      <c r="G187" s="46"/>
    </row>
    <row r="188" spans="1:7" x14ac:dyDescent="0.25">
      <c r="A188" s="43"/>
      <c r="B188" s="44">
        <f>IF(A188="","",YEAR(A188))</f>
      </c>
      <c r="C188" s="44">
        <f>IF(A188="","",WEEKNUM(A188,21))</f>
      </c>
      <c r="D188" s="45"/>
      <c r="E188" s="45"/>
      <c r="F188" s="45"/>
      <c r="G188" s="46"/>
    </row>
    <row r="189" spans="1:7" x14ac:dyDescent="0.25">
      <c r="A189" s="43"/>
      <c r="B189" s="44">
        <f>IF(A189="","",YEAR(A189))</f>
      </c>
      <c r="C189" s="44">
        <f>IF(A189="","",WEEKNUM(A189,21))</f>
      </c>
      <c r="D189" s="45"/>
      <c r="E189" s="45"/>
      <c r="F189" s="45"/>
      <c r="G189" s="46"/>
    </row>
    <row r="190" spans="1:7" x14ac:dyDescent="0.25">
      <c r="A190" s="43"/>
      <c r="B190" s="44">
        <f>IF(A190="","",YEAR(A190))</f>
      </c>
      <c r="C190" s="44">
        <f>IF(A190="","",WEEKNUM(A190,21))</f>
      </c>
      <c r="D190" s="45"/>
      <c r="E190" s="45"/>
      <c r="F190" s="45"/>
      <c r="G190" s="46"/>
    </row>
    <row r="191" spans="1:7" x14ac:dyDescent="0.25">
      <c r="A191" s="43"/>
      <c r="B191" s="44">
        <f>IF(A191="","",YEAR(A191))</f>
      </c>
      <c r="C191" s="44">
        <f>IF(A191="","",WEEKNUM(A191,21))</f>
      </c>
      <c r="D191" s="45"/>
      <c r="E191" s="45"/>
      <c r="F191" s="45"/>
      <c r="G191" s="46"/>
    </row>
    <row r="192" spans="1:7" x14ac:dyDescent="0.25">
      <c r="A192" s="43"/>
      <c r="B192" s="44">
        <f>IF(A192="","",YEAR(A192))</f>
      </c>
      <c r="C192" s="44">
        <f>IF(A192="","",WEEKNUM(A192,21))</f>
      </c>
      <c r="D192" s="45"/>
      <c r="E192" s="45"/>
      <c r="F192" s="45"/>
      <c r="G192" s="46"/>
    </row>
    <row r="193" spans="1:7" x14ac:dyDescent="0.25">
      <c r="A193" s="43"/>
      <c r="B193" s="44">
        <f>IF(A193="","",YEAR(A193))</f>
      </c>
      <c r="C193" s="44">
        <f>IF(A193="","",WEEKNUM(A193,21))</f>
      </c>
      <c r="D193" s="45"/>
      <c r="E193" s="45"/>
      <c r="F193" s="45"/>
      <c r="G193" s="46"/>
    </row>
    <row r="194" spans="1:7" x14ac:dyDescent="0.25">
      <c r="A194" s="43"/>
      <c r="B194" s="44">
        <f>IF(A194="","",YEAR(A194))</f>
      </c>
      <c r="C194" s="44">
        <f>IF(A194="","",WEEKNUM(A194,21))</f>
      </c>
      <c r="D194" s="45"/>
      <c r="E194" s="45"/>
      <c r="F194" s="45"/>
      <c r="G194" s="46"/>
    </row>
    <row r="195" spans="1:7" x14ac:dyDescent="0.25">
      <c r="A195" s="43"/>
      <c r="B195" s="44">
        <f>IF(A195="","",YEAR(A195))</f>
      </c>
      <c r="C195" s="44">
        <f>IF(A195="","",WEEKNUM(A195,21))</f>
      </c>
      <c r="D195" s="45"/>
      <c r="E195" s="45"/>
      <c r="F195" s="45"/>
      <c r="G195" s="46"/>
    </row>
    <row r="196" spans="1:7" x14ac:dyDescent="0.25">
      <c r="A196" s="43"/>
      <c r="B196" s="44">
        <f>IF(A196="","",YEAR(A196))</f>
      </c>
      <c r="C196" s="44">
        <f>IF(A196="","",WEEKNUM(A196,21))</f>
      </c>
      <c r="D196" s="45"/>
      <c r="E196" s="45"/>
      <c r="F196" s="45"/>
      <c r="G196" s="46"/>
    </row>
    <row r="197" spans="1:7" x14ac:dyDescent="0.25">
      <c r="A197" s="43"/>
      <c r="B197" s="44">
        <f>IF(A197="","",YEAR(A197))</f>
      </c>
      <c r="C197" s="44">
        <f>IF(A197="","",WEEKNUM(A197,21))</f>
      </c>
      <c r="D197" s="45"/>
      <c r="E197" s="45"/>
      <c r="F197" s="45"/>
      <c r="G197" s="46"/>
    </row>
    <row r="198" spans="1:7" x14ac:dyDescent="0.25">
      <c r="A198" s="43"/>
      <c r="B198" s="44">
        <f>IF(A198="","",YEAR(A198))</f>
      </c>
      <c r="C198" s="44">
        <f>IF(A198="","",WEEKNUM(A198,21))</f>
      </c>
      <c r="D198" s="45"/>
      <c r="E198" s="45"/>
      <c r="F198" s="45"/>
      <c r="G198" s="46"/>
    </row>
    <row r="199" spans="1:7" x14ac:dyDescent="0.25">
      <c r="A199" s="43"/>
      <c r="B199" s="44">
        <f>IF(A199="","",YEAR(A199))</f>
      </c>
      <c r="C199" s="44">
        <f>IF(A199="","",WEEKNUM(A199,21))</f>
      </c>
      <c r="D199" s="45"/>
      <c r="E199" s="45"/>
      <c r="F199" s="45"/>
      <c r="G199" s="46"/>
    </row>
    <row r="200" spans="1:7" x14ac:dyDescent="0.25">
      <c r="A200" s="43"/>
      <c r="B200" s="44">
        <f>IF(A200="","",YEAR(A200))</f>
      </c>
      <c r="C200" s="44">
        <f>IF(A200="","",WEEKNUM(A200,21))</f>
      </c>
      <c r="D200" s="45"/>
      <c r="E200" s="45"/>
      <c r="F200" s="45"/>
      <c r="G200" s="46"/>
    </row>
    <row r="201" spans="1:7" x14ac:dyDescent="0.25">
      <c r="A201" s="43"/>
      <c r="B201" s="44">
        <f>IF(A201="","",YEAR(A201))</f>
      </c>
      <c r="C201" s="44">
        <f>IF(A201="","",WEEKNUM(A201,21))</f>
      </c>
      <c r="D201" s="45"/>
      <c r="E201" s="45"/>
      <c r="F201" s="45"/>
      <c r="G201" s="46"/>
    </row>
    <row r="202" spans="1:7" x14ac:dyDescent="0.25">
      <c r="A202" s="43"/>
      <c r="B202" s="44">
        <f>IF(A202="","",YEAR(A202))</f>
      </c>
      <c r="C202" s="44">
        <f>IF(A202="","",WEEKNUM(A202,21))</f>
      </c>
      <c r="D202" s="45"/>
      <c r="E202" s="45"/>
      <c r="F202" s="45"/>
      <c r="G202" s="46"/>
    </row>
    <row r="203" spans="1:7" x14ac:dyDescent="0.25">
      <c r="A203" s="43"/>
      <c r="B203" s="44">
        <f>IF(A203="","",YEAR(A203))</f>
      </c>
      <c r="C203" s="44">
        <f>IF(A203="","",WEEKNUM(A203,21))</f>
      </c>
      <c r="D203" s="45"/>
      <c r="E203" s="45"/>
      <c r="F203" s="45"/>
      <c r="G203" s="46"/>
    </row>
    <row r="204" spans="1:7" x14ac:dyDescent="0.25">
      <c r="A204" s="43"/>
      <c r="B204" s="44">
        <f>IF(A204="","",YEAR(A204))</f>
      </c>
      <c r="C204" s="44">
        <f>IF(A204="","",WEEKNUM(A204,21))</f>
      </c>
      <c r="D204" s="45"/>
      <c r="E204" s="45"/>
      <c r="F204" s="45"/>
      <c r="G204" s="46"/>
    </row>
  </sheetData>
  <autoFilter ref="A4:G204"/>
  <mergeCells count="2">
    <mergeCell ref="A1:G1"/>
    <mergeCell ref="A2:G2"/>
  </mergeCells>
  <conditionalFormatting sqref="D5:D204">
    <cfRule type="cellIs" dxfId="3" priority="1" operator="equal">
      <formula>"don"</formula>
    </cfRule>
  </conditionalFormatting>
  <conditionalFormatting sqref="D5:D204">
    <cfRule type="cellIs" dxfId="4" priority="2" operator="equal">
      <formula>"subvention"</formula>
    </cfRule>
  </conditionalFormatting>
  <conditionalFormatting sqref="D5:D204">
    <cfRule type="cellIs" dxfId="5" priority="3" operator="equal">
      <formula>"prestation"</formula>
    </cfRule>
  </conditionalFormatting>
  <conditionalFormatting sqref="D5:D204">
    <cfRule type="cellIs" dxfId="6" priority="4" operator="equal">
      <formula>"autre"</formula>
    </cfRule>
  </conditionalFormatting>
  <conditionalFormatting sqref="D5:D204">
    <cfRule type="cellIs" dxfId="7" priority="5" operator="equal">
      <formula>"charge_deductible"</formula>
    </cfRule>
  </conditionalFormatting>
  <conditionalFormatting sqref="D5:D204">
    <cfRule type="cellIs" dxfId="8" priority="6" operator="equal">
      <formula>"charge_non_deductible"</formula>
    </cfRule>
  </conditionalFormatting>
  <dataValidations count="1">
    <dataValidation type="list" allowBlank="1" showErrorMessage="1" errorTitle="Type invalide" error="Choisir un type dans la liste : don, subvention, prestation, autre, charge_deductible, charge_non_deductible" sqref="D5:D204">
      <formula1>"don,subvention,prestation,autre,charge_deductible,charge_non_deductible"</formula1>
    </dataValidation>
  </dataValidations>
  <pageMargins left="0.5" right="0.5" top="0.5" bottom="0.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5" width="13" customWidth="1"/>
    <col min="6" max="6" width="14" customWidth="1"/>
    <col min="7" max="7" width="16" customWidth="1"/>
    <col min="8" max="8" width="13" customWidth="1"/>
    <col min="9" max="9" width="14" customWidth="1"/>
    <col min="12" max="14" width="14" customWidth="1"/>
    <col min="15" max="15" width="18" customWidth="1"/>
  </cols>
  <sheetData>
    <row r="1" ht="30" customHeight="1" spans="1:15" x14ac:dyDescent="0.25">
      <c r="A1" s="41" t="s">
        <v>129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spans="1:15" x14ac:dyDescent="0.25">
      <c r="A2" s="47" t="s">
        <v>130</v>
      </c>
      <c r="B2"/>
      <c r="C2" s="48">
        <f>='Tableau de bord'!C6</f>
      </c>
      <c r="D2" s="49" t="s">
        <v>131</v>
      </c>
      <c r="E2"/>
      <c r="F2"/>
      <c r="G2"/>
      <c r="H2"/>
      <c r="I2"/>
      <c r="J2"/>
      <c r="K2"/>
      <c r="L2"/>
      <c r="M2"/>
      <c r="N2"/>
      <c r="O2"/>
    </row>
    <row r="4" ht="30" customHeight="1" spans="1:15" x14ac:dyDescent="0.25">
      <c r="A4" s="6" t="s">
        <v>132</v>
      </c>
      <c r="B4" s="6" t="s">
        <v>133</v>
      </c>
      <c r="C4" s="6" t="s">
        <v>134</v>
      </c>
      <c r="D4" s="6" t="s">
        <v>135</v>
      </c>
      <c r="E4" s="6" t="s">
        <v>136</v>
      </c>
      <c r="F4" s="6" t="s">
        <v>137</v>
      </c>
      <c r="G4" s="6" t="s">
        <v>138</v>
      </c>
      <c r="H4" s="6" t="s">
        <v>139</v>
      </c>
      <c r="I4" s="6" t="s">
        <v>140</v>
      </c>
      <c r="J4" s="6" t="s">
        <v>141</v>
      </c>
      <c r="K4" s="6" t="s">
        <v>142</v>
      </c>
      <c r="L4" s="6" t="s">
        <v>143</v>
      </c>
      <c r="M4" s="6" t="s">
        <v>144</v>
      </c>
      <c r="N4" s="6" t="s">
        <v>145</v>
      </c>
      <c r="O4" s="6" t="s">
        <v>146</v>
      </c>
    </row>
    <row r="5" spans="1:15" x14ac:dyDescent="0.25">
      <c r="A5" s="50">
        <v>1</v>
      </c>
      <c r="B5" s="46">
        <f>=SUMIFS(Saisie!$G:$G,Saisie!$B:$B,$C$2,Saisie!$C:$C,$A5,Saisie!$D:$D,"don")</f>
      </c>
      <c r="C5" s="46">
        <f>=SUMIFS(Saisie!$G:$G,Saisie!$B:$B,$C$2,Saisie!$C:$C,$A5,Saisie!$D:$D,"subvention")</f>
      </c>
      <c r="D5" s="46">
        <f>=SUMIFS(Saisie!$G:$G,Saisie!$B:$B,$C$2,Saisie!$C:$C,$A5,Saisie!$D:$D,"prestation")</f>
      </c>
      <c r="E5" s="46">
        <f>=SUMIFS(Saisie!$G:$G,Saisie!$B:$B,$C$2,Saisie!$C:$C,$A5,Saisie!$D:$D,"autre")</f>
      </c>
      <c r="F5" s="46">
        <f>=SUMIFS(Saisie!$G:$G,Saisie!$B:$B,$C$2,Saisie!$C:$C,$A5,Saisie!$D:$D,"charge_deductible")</f>
      </c>
      <c r="G5" s="46">
        <f>=SUMIFS(Saisie!$G:$G,Saisie!$B:$B,$C$2,Saisie!$C:$C,$A5,Saisie!$D:$D,"charge_non_deductible")</f>
      </c>
      <c r="H5" s="38">
        <f>=D5+E5</f>
      </c>
      <c r="I5" s="38">
        <f>=H5-F5</f>
      </c>
      <c r="J5" s="50">
        <f>=IF(H5&gt;500000,5,IF(H5&gt;250000,4,IF(H5&gt;100000,3,IF(H5&gt;50000,2,IF(H5&gt;10000,1,0)))))</f>
      </c>
      <c r="K5" s="51">
        <f>=CHOOSE(J5+1,0,0.1,0.19,0.28,0.36,0.46)</f>
      </c>
      <c r="L5" s="52">
        <f>=MAX(0,I5*K5)</f>
      </c>
      <c r="M5" s="46">
        <f>=H5+C5</f>
      </c>
      <c r="N5" s="38">
        <f>=SUM(OFFSET($M$5,MAX(0,ROW()-8),0,MIN(4,ROW()-4),1))</f>
      </c>
      <c r="O5" s="53">
        <f>=IF(N5&gt;50000,"⚠ DÉPASSEMENT",IF(N5&gt;40000,"⚠ VIGILANCE","✓ OK"))</f>
      </c>
    </row>
    <row r="6" spans="1:15" x14ac:dyDescent="0.25">
      <c r="A6" s="50">
        <v>2</v>
      </c>
      <c r="B6" s="46">
        <f>=SUMIFS(Saisie!$G:$G,Saisie!$B:$B,$C$2,Saisie!$C:$C,$A6,Saisie!$D:$D,"don")</f>
      </c>
      <c r="C6" s="46">
        <f>=SUMIFS(Saisie!$G:$G,Saisie!$B:$B,$C$2,Saisie!$C:$C,$A6,Saisie!$D:$D,"subvention")</f>
      </c>
      <c r="D6" s="46">
        <f>=SUMIFS(Saisie!$G:$G,Saisie!$B:$B,$C$2,Saisie!$C:$C,$A6,Saisie!$D:$D,"prestation")</f>
      </c>
      <c r="E6" s="46">
        <f>=SUMIFS(Saisie!$G:$G,Saisie!$B:$B,$C$2,Saisie!$C:$C,$A6,Saisie!$D:$D,"autre")</f>
      </c>
      <c r="F6" s="46">
        <f>=SUMIFS(Saisie!$G:$G,Saisie!$B:$B,$C$2,Saisie!$C:$C,$A6,Saisie!$D:$D,"charge_deductible")</f>
      </c>
      <c r="G6" s="46">
        <f>=SUMIFS(Saisie!$G:$G,Saisie!$B:$B,$C$2,Saisie!$C:$C,$A6,Saisie!$D:$D,"charge_non_deductible")</f>
      </c>
      <c r="H6" s="38">
        <f>=D6+E6</f>
      </c>
      <c r="I6" s="38">
        <f>=H6-F6</f>
      </c>
      <c r="J6" s="50">
        <f>=IF(H6&gt;500000,5,IF(H6&gt;250000,4,IF(H6&gt;100000,3,IF(H6&gt;50000,2,IF(H6&gt;10000,1,0)))))</f>
      </c>
      <c r="K6" s="51">
        <f>=CHOOSE(J6+1,0,0.1,0.19,0.28,0.36,0.46)</f>
      </c>
      <c r="L6" s="52">
        <f>=MAX(0,I6*K6)</f>
      </c>
      <c r="M6" s="46">
        <f>=H6+C6</f>
      </c>
      <c r="N6" s="38">
        <f>=SUM(OFFSET($M$5,MAX(0,ROW()-8),0,MIN(4,ROW()-4),1))</f>
      </c>
      <c r="O6" s="53">
        <f>=IF(N6&gt;50000,"⚠ DÉPASSEMENT",IF(N6&gt;40000,"⚠ VIGILANCE","✓ OK"))</f>
      </c>
    </row>
    <row r="7" spans="1:15" x14ac:dyDescent="0.25">
      <c r="A7" s="50">
        <v>3</v>
      </c>
      <c r="B7" s="46">
        <f>=SUMIFS(Saisie!$G:$G,Saisie!$B:$B,$C$2,Saisie!$C:$C,$A7,Saisie!$D:$D,"don")</f>
      </c>
      <c r="C7" s="46">
        <f>=SUMIFS(Saisie!$G:$G,Saisie!$B:$B,$C$2,Saisie!$C:$C,$A7,Saisie!$D:$D,"subvention")</f>
      </c>
      <c r="D7" s="46">
        <f>=SUMIFS(Saisie!$G:$G,Saisie!$B:$B,$C$2,Saisie!$C:$C,$A7,Saisie!$D:$D,"prestation")</f>
      </c>
      <c r="E7" s="46">
        <f>=SUMIFS(Saisie!$G:$G,Saisie!$B:$B,$C$2,Saisie!$C:$C,$A7,Saisie!$D:$D,"autre")</f>
      </c>
      <c r="F7" s="46">
        <f>=SUMIFS(Saisie!$G:$G,Saisie!$B:$B,$C$2,Saisie!$C:$C,$A7,Saisie!$D:$D,"charge_deductible")</f>
      </c>
      <c r="G7" s="46">
        <f>=SUMIFS(Saisie!$G:$G,Saisie!$B:$B,$C$2,Saisie!$C:$C,$A7,Saisie!$D:$D,"charge_non_deductible")</f>
      </c>
      <c r="H7" s="38">
        <f>=D7+E7</f>
      </c>
      <c r="I7" s="38">
        <f>=H7-F7</f>
      </c>
      <c r="J7" s="50">
        <f>=IF(H7&gt;500000,5,IF(H7&gt;250000,4,IF(H7&gt;100000,3,IF(H7&gt;50000,2,IF(H7&gt;10000,1,0)))))</f>
      </c>
      <c r="K7" s="51">
        <f>=CHOOSE(J7+1,0,0.1,0.19,0.28,0.36,0.46)</f>
      </c>
      <c r="L7" s="52">
        <f>=MAX(0,I7*K7)</f>
      </c>
      <c r="M7" s="46">
        <f>=H7+C7</f>
      </c>
      <c r="N7" s="38">
        <f>=SUM(OFFSET($M$5,MAX(0,ROW()-8),0,MIN(4,ROW()-4),1))</f>
      </c>
      <c r="O7" s="53">
        <f>=IF(N7&gt;50000,"⚠ DÉPASSEMENT",IF(N7&gt;40000,"⚠ VIGILANCE","✓ OK"))</f>
      </c>
    </row>
    <row r="8" spans="1:15" x14ac:dyDescent="0.25">
      <c r="A8" s="50">
        <v>4</v>
      </c>
      <c r="B8" s="46">
        <f>=SUMIFS(Saisie!$G:$G,Saisie!$B:$B,$C$2,Saisie!$C:$C,$A8,Saisie!$D:$D,"don")</f>
      </c>
      <c r="C8" s="46">
        <f>=SUMIFS(Saisie!$G:$G,Saisie!$B:$B,$C$2,Saisie!$C:$C,$A8,Saisie!$D:$D,"subvention")</f>
      </c>
      <c r="D8" s="46">
        <f>=SUMIFS(Saisie!$G:$G,Saisie!$B:$B,$C$2,Saisie!$C:$C,$A8,Saisie!$D:$D,"prestation")</f>
      </c>
      <c r="E8" s="46">
        <f>=SUMIFS(Saisie!$G:$G,Saisie!$B:$B,$C$2,Saisie!$C:$C,$A8,Saisie!$D:$D,"autre")</f>
      </c>
      <c r="F8" s="46">
        <f>=SUMIFS(Saisie!$G:$G,Saisie!$B:$B,$C$2,Saisie!$C:$C,$A8,Saisie!$D:$D,"charge_deductible")</f>
      </c>
      <c r="G8" s="46">
        <f>=SUMIFS(Saisie!$G:$G,Saisie!$B:$B,$C$2,Saisie!$C:$C,$A8,Saisie!$D:$D,"charge_non_deductible")</f>
      </c>
      <c r="H8" s="38">
        <f>=D8+E8</f>
      </c>
      <c r="I8" s="38">
        <f>=H8-F8</f>
      </c>
      <c r="J8" s="50">
        <f>=IF(H8&gt;500000,5,IF(H8&gt;250000,4,IF(H8&gt;100000,3,IF(H8&gt;50000,2,IF(H8&gt;10000,1,0)))))</f>
      </c>
      <c r="K8" s="51">
        <f>=CHOOSE(J8+1,0,0.1,0.19,0.28,0.36,0.46)</f>
      </c>
      <c r="L8" s="52">
        <f>=MAX(0,I8*K8)</f>
      </c>
      <c r="M8" s="46">
        <f>=H8+C8</f>
      </c>
      <c r="N8" s="38">
        <f>=SUM(OFFSET($M$5,MAX(0,ROW()-8),0,MIN(4,ROW()-4),1))</f>
      </c>
      <c r="O8" s="53">
        <f>=IF(N8&gt;50000,"⚠ DÉPASSEMENT",IF(N8&gt;40000,"⚠ VIGILANCE","✓ OK"))</f>
      </c>
    </row>
    <row r="9" spans="1:15" x14ac:dyDescent="0.25">
      <c r="A9" s="50">
        <v>5</v>
      </c>
      <c r="B9" s="46">
        <f>=SUMIFS(Saisie!$G:$G,Saisie!$B:$B,$C$2,Saisie!$C:$C,$A9,Saisie!$D:$D,"don")</f>
      </c>
      <c r="C9" s="46">
        <f>=SUMIFS(Saisie!$G:$G,Saisie!$B:$B,$C$2,Saisie!$C:$C,$A9,Saisie!$D:$D,"subvention")</f>
      </c>
      <c r="D9" s="46">
        <f>=SUMIFS(Saisie!$G:$G,Saisie!$B:$B,$C$2,Saisie!$C:$C,$A9,Saisie!$D:$D,"prestation")</f>
      </c>
      <c r="E9" s="46">
        <f>=SUMIFS(Saisie!$G:$G,Saisie!$B:$B,$C$2,Saisie!$C:$C,$A9,Saisie!$D:$D,"autre")</f>
      </c>
      <c r="F9" s="46">
        <f>=SUMIFS(Saisie!$G:$G,Saisie!$B:$B,$C$2,Saisie!$C:$C,$A9,Saisie!$D:$D,"charge_deductible")</f>
      </c>
      <c r="G9" s="46">
        <f>=SUMIFS(Saisie!$G:$G,Saisie!$B:$B,$C$2,Saisie!$C:$C,$A9,Saisie!$D:$D,"charge_non_deductible")</f>
      </c>
      <c r="H9" s="38">
        <f>=D9+E9</f>
      </c>
      <c r="I9" s="38">
        <f>=H9-F9</f>
      </c>
      <c r="J9" s="50">
        <f>=IF(H9&gt;500000,5,IF(H9&gt;250000,4,IF(H9&gt;100000,3,IF(H9&gt;50000,2,IF(H9&gt;10000,1,0)))))</f>
      </c>
      <c r="K9" s="51">
        <f>=CHOOSE(J9+1,0,0.1,0.19,0.28,0.36,0.46)</f>
      </c>
      <c r="L9" s="52">
        <f>=MAX(0,I9*K9)</f>
      </c>
      <c r="M9" s="46">
        <f>=H9+C9</f>
      </c>
      <c r="N9" s="38">
        <f>=SUM(OFFSET($M$5,MAX(0,ROW()-8),0,MIN(4,ROW()-4),1))</f>
      </c>
      <c r="O9" s="53">
        <f>=IF(N9&gt;50000,"⚠ DÉPASSEMENT",IF(N9&gt;40000,"⚠ VIGILANCE","✓ OK"))</f>
      </c>
    </row>
    <row r="10" spans="1:15" x14ac:dyDescent="0.25">
      <c r="A10" s="50">
        <v>6</v>
      </c>
      <c r="B10" s="46">
        <f>=SUMIFS(Saisie!$G:$G,Saisie!$B:$B,$C$2,Saisie!$C:$C,$A10,Saisie!$D:$D,"don")</f>
      </c>
      <c r="C10" s="46">
        <f>=SUMIFS(Saisie!$G:$G,Saisie!$B:$B,$C$2,Saisie!$C:$C,$A10,Saisie!$D:$D,"subvention")</f>
      </c>
      <c r="D10" s="46">
        <f>=SUMIFS(Saisie!$G:$G,Saisie!$B:$B,$C$2,Saisie!$C:$C,$A10,Saisie!$D:$D,"prestation")</f>
      </c>
      <c r="E10" s="46">
        <f>=SUMIFS(Saisie!$G:$G,Saisie!$B:$B,$C$2,Saisie!$C:$C,$A10,Saisie!$D:$D,"autre")</f>
      </c>
      <c r="F10" s="46">
        <f>=SUMIFS(Saisie!$G:$G,Saisie!$B:$B,$C$2,Saisie!$C:$C,$A10,Saisie!$D:$D,"charge_deductible")</f>
      </c>
      <c r="G10" s="46">
        <f>=SUMIFS(Saisie!$G:$G,Saisie!$B:$B,$C$2,Saisie!$C:$C,$A10,Saisie!$D:$D,"charge_non_deductible")</f>
      </c>
      <c r="H10" s="38">
        <f>=D10+E10</f>
      </c>
      <c r="I10" s="38">
        <f>=H10-F10</f>
      </c>
      <c r="J10" s="50">
        <f>=IF(H10&gt;500000,5,IF(H10&gt;250000,4,IF(H10&gt;100000,3,IF(H10&gt;50000,2,IF(H10&gt;10000,1,0)))))</f>
      </c>
      <c r="K10" s="51">
        <f>=CHOOSE(J10+1,0,0.1,0.19,0.28,0.36,0.46)</f>
      </c>
      <c r="L10" s="52">
        <f>=MAX(0,I10*K10)</f>
      </c>
      <c r="M10" s="46">
        <f>=H10+C10</f>
      </c>
      <c r="N10" s="38">
        <f>=SUM(OFFSET($M$5,MAX(0,ROW()-8),0,MIN(4,ROW()-4),1))</f>
      </c>
      <c r="O10" s="53">
        <f>=IF(N10&gt;50000,"⚠ DÉPASSEMENT",IF(N10&gt;40000,"⚠ VIGILANCE","✓ OK"))</f>
      </c>
    </row>
    <row r="11" spans="1:15" x14ac:dyDescent="0.25">
      <c r="A11" s="50">
        <v>7</v>
      </c>
      <c r="B11" s="46">
        <f>=SUMIFS(Saisie!$G:$G,Saisie!$B:$B,$C$2,Saisie!$C:$C,$A11,Saisie!$D:$D,"don")</f>
      </c>
      <c r="C11" s="46">
        <f>=SUMIFS(Saisie!$G:$G,Saisie!$B:$B,$C$2,Saisie!$C:$C,$A11,Saisie!$D:$D,"subvention")</f>
      </c>
      <c r="D11" s="46">
        <f>=SUMIFS(Saisie!$G:$G,Saisie!$B:$B,$C$2,Saisie!$C:$C,$A11,Saisie!$D:$D,"prestation")</f>
      </c>
      <c r="E11" s="46">
        <f>=SUMIFS(Saisie!$G:$G,Saisie!$B:$B,$C$2,Saisie!$C:$C,$A11,Saisie!$D:$D,"autre")</f>
      </c>
      <c r="F11" s="46">
        <f>=SUMIFS(Saisie!$G:$G,Saisie!$B:$B,$C$2,Saisie!$C:$C,$A11,Saisie!$D:$D,"charge_deductible")</f>
      </c>
      <c r="G11" s="46">
        <f>=SUMIFS(Saisie!$G:$G,Saisie!$B:$B,$C$2,Saisie!$C:$C,$A11,Saisie!$D:$D,"charge_non_deductible")</f>
      </c>
      <c r="H11" s="38">
        <f>=D11+E11</f>
      </c>
      <c r="I11" s="38">
        <f>=H11-F11</f>
      </c>
      <c r="J11" s="50">
        <f>=IF(H11&gt;500000,5,IF(H11&gt;250000,4,IF(H11&gt;100000,3,IF(H11&gt;50000,2,IF(H11&gt;10000,1,0)))))</f>
      </c>
      <c r="K11" s="51">
        <f>=CHOOSE(J11+1,0,0.1,0.19,0.28,0.36,0.46)</f>
      </c>
      <c r="L11" s="52">
        <f>=MAX(0,I11*K11)</f>
      </c>
      <c r="M11" s="46">
        <f>=H11+C11</f>
      </c>
      <c r="N11" s="38">
        <f>=SUM(OFFSET($M$5,MAX(0,ROW()-8),0,MIN(4,ROW()-4),1))</f>
      </c>
      <c r="O11" s="53">
        <f>=IF(N11&gt;50000,"⚠ DÉPASSEMENT",IF(N11&gt;40000,"⚠ VIGILANCE","✓ OK"))</f>
      </c>
    </row>
    <row r="12" spans="1:15" x14ac:dyDescent="0.25">
      <c r="A12" s="50">
        <v>8</v>
      </c>
      <c r="B12" s="46">
        <f>=SUMIFS(Saisie!$G:$G,Saisie!$B:$B,$C$2,Saisie!$C:$C,$A12,Saisie!$D:$D,"don")</f>
      </c>
      <c r="C12" s="46">
        <f>=SUMIFS(Saisie!$G:$G,Saisie!$B:$B,$C$2,Saisie!$C:$C,$A12,Saisie!$D:$D,"subvention")</f>
      </c>
      <c r="D12" s="46">
        <f>=SUMIFS(Saisie!$G:$G,Saisie!$B:$B,$C$2,Saisie!$C:$C,$A12,Saisie!$D:$D,"prestation")</f>
      </c>
      <c r="E12" s="46">
        <f>=SUMIFS(Saisie!$G:$G,Saisie!$B:$B,$C$2,Saisie!$C:$C,$A12,Saisie!$D:$D,"autre")</f>
      </c>
      <c r="F12" s="46">
        <f>=SUMIFS(Saisie!$G:$G,Saisie!$B:$B,$C$2,Saisie!$C:$C,$A12,Saisie!$D:$D,"charge_deductible")</f>
      </c>
      <c r="G12" s="46">
        <f>=SUMIFS(Saisie!$G:$G,Saisie!$B:$B,$C$2,Saisie!$C:$C,$A12,Saisie!$D:$D,"charge_non_deductible")</f>
      </c>
      <c r="H12" s="38">
        <f>=D12+E12</f>
      </c>
      <c r="I12" s="38">
        <f>=H12-F12</f>
      </c>
      <c r="J12" s="50">
        <f>=IF(H12&gt;500000,5,IF(H12&gt;250000,4,IF(H12&gt;100000,3,IF(H12&gt;50000,2,IF(H12&gt;10000,1,0)))))</f>
      </c>
      <c r="K12" s="51">
        <f>=CHOOSE(J12+1,0,0.1,0.19,0.28,0.36,0.46)</f>
      </c>
      <c r="L12" s="52">
        <f>=MAX(0,I12*K12)</f>
      </c>
      <c r="M12" s="46">
        <f>=H12+C12</f>
      </c>
      <c r="N12" s="38">
        <f>=SUM(OFFSET($M$5,MAX(0,ROW()-8),0,MIN(4,ROW()-4),1))</f>
      </c>
      <c r="O12" s="53">
        <f>=IF(N12&gt;50000,"⚠ DÉPASSEMENT",IF(N12&gt;40000,"⚠ VIGILANCE","✓ OK"))</f>
      </c>
    </row>
    <row r="13" spans="1:15" x14ac:dyDescent="0.25">
      <c r="A13" s="50">
        <v>9</v>
      </c>
      <c r="B13" s="46">
        <f>=SUMIFS(Saisie!$G:$G,Saisie!$B:$B,$C$2,Saisie!$C:$C,$A13,Saisie!$D:$D,"don")</f>
      </c>
      <c r="C13" s="46">
        <f>=SUMIFS(Saisie!$G:$G,Saisie!$B:$B,$C$2,Saisie!$C:$C,$A13,Saisie!$D:$D,"subvention")</f>
      </c>
      <c r="D13" s="46">
        <f>=SUMIFS(Saisie!$G:$G,Saisie!$B:$B,$C$2,Saisie!$C:$C,$A13,Saisie!$D:$D,"prestation")</f>
      </c>
      <c r="E13" s="46">
        <f>=SUMIFS(Saisie!$G:$G,Saisie!$B:$B,$C$2,Saisie!$C:$C,$A13,Saisie!$D:$D,"autre")</f>
      </c>
      <c r="F13" s="46">
        <f>=SUMIFS(Saisie!$G:$G,Saisie!$B:$B,$C$2,Saisie!$C:$C,$A13,Saisie!$D:$D,"charge_deductible")</f>
      </c>
      <c r="G13" s="46">
        <f>=SUMIFS(Saisie!$G:$G,Saisie!$B:$B,$C$2,Saisie!$C:$C,$A13,Saisie!$D:$D,"charge_non_deductible")</f>
      </c>
      <c r="H13" s="38">
        <f>=D13+E13</f>
      </c>
      <c r="I13" s="38">
        <f>=H13-F13</f>
      </c>
      <c r="J13" s="50">
        <f>=IF(H13&gt;500000,5,IF(H13&gt;250000,4,IF(H13&gt;100000,3,IF(H13&gt;50000,2,IF(H13&gt;10000,1,0)))))</f>
      </c>
      <c r="K13" s="51">
        <f>=CHOOSE(J13+1,0,0.1,0.19,0.28,0.36,0.46)</f>
      </c>
      <c r="L13" s="52">
        <f>=MAX(0,I13*K13)</f>
      </c>
      <c r="M13" s="46">
        <f>=H13+C13</f>
      </c>
      <c r="N13" s="38">
        <f>=SUM(OFFSET($M$5,MAX(0,ROW()-8),0,MIN(4,ROW()-4),1))</f>
      </c>
      <c r="O13" s="53">
        <f>=IF(N13&gt;50000,"⚠ DÉPASSEMENT",IF(N13&gt;40000,"⚠ VIGILANCE","✓ OK"))</f>
      </c>
    </row>
    <row r="14" spans="1:15" x14ac:dyDescent="0.25">
      <c r="A14" s="50">
        <v>10</v>
      </c>
      <c r="B14" s="46">
        <f>=SUMIFS(Saisie!$G:$G,Saisie!$B:$B,$C$2,Saisie!$C:$C,$A14,Saisie!$D:$D,"don")</f>
      </c>
      <c r="C14" s="46">
        <f>=SUMIFS(Saisie!$G:$G,Saisie!$B:$B,$C$2,Saisie!$C:$C,$A14,Saisie!$D:$D,"subvention")</f>
      </c>
      <c r="D14" s="46">
        <f>=SUMIFS(Saisie!$G:$G,Saisie!$B:$B,$C$2,Saisie!$C:$C,$A14,Saisie!$D:$D,"prestation")</f>
      </c>
      <c r="E14" s="46">
        <f>=SUMIFS(Saisie!$G:$G,Saisie!$B:$B,$C$2,Saisie!$C:$C,$A14,Saisie!$D:$D,"autre")</f>
      </c>
      <c r="F14" s="46">
        <f>=SUMIFS(Saisie!$G:$G,Saisie!$B:$B,$C$2,Saisie!$C:$C,$A14,Saisie!$D:$D,"charge_deductible")</f>
      </c>
      <c r="G14" s="46">
        <f>=SUMIFS(Saisie!$G:$G,Saisie!$B:$B,$C$2,Saisie!$C:$C,$A14,Saisie!$D:$D,"charge_non_deductible")</f>
      </c>
      <c r="H14" s="38">
        <f>=D14+E14</f>
      </c>
      <c r="I14" s="38">
        <f>=H14-F14</f>
      </c>
      <c r="J14" s="50">
        <f>=IF(H14&gt;500000,5,IF(H14&gt;250000,4,IF(H14&gt;100000,3,IF(H14&gt;50000,2,IF(H14&gt;10000,1,0)))))</f>
      </c>
      <c r="K14" s="51">
        <f>=CHOOSE(J14+1,0,0.1,0.19,0.28,0.36,0.46)</f>
      </c>
      <c r="L14" s="52">
        <f>=MAX(0,I14*K14)</f>
      </c>
      <c r="M14" s="46">
        <f>=H14+C14</f>
      </c>
      <c r="N14" s="38">
        <f>=SUM(OFFSET($M$5,MAX(0,ROW()-8),0,MIN(4,ROW()-4),1))</f>
      </c>
      <c r="O14" s="53">
        <f>=IF(N14&gt;50000,"⚠ DÉPASSEMENT",IF(N14&gt;40000,"⚠ VIGILANCE","✓ OK"))</f>
      </c>
    </row>
    <row r="15" spans="1:15" x14ac:dyDescent="0.25">
      <c r="A15" s="50">
        <v>11</v>
      </c>
      <c r="B15" s="46">
        <f>=SUMIFS(Saisie!$G:$G,Saisie!$B:$B,$C$2,Saisie!$C:$C,$A15,Saisie!$D:$D,"don")</f>
      </c>
      <c r="C15" s="46">
        <f>=SUMIFS(Saisie!$G:$G,Saisie!$B:$B,$C$2,Saisie!$C:$C,$A15,Saisie!$D:$D,"subvention")</f>
      </c>
      <c r="D15" s="46">
        <f>=SUMIFS(Saisie!$G:$G,Saisie!$B:$B,$C$2,Saisie!$C:$C,$A15,Saisie!$D:$D,"prestation")</f>
      </c>
      <c r="E15" s="46">
        <f>=SUMIFS(Saisie!$G:$G,Saisie!$B:$B,$C$2,Saisie!$C:$C,$A15,Saisie!$D:$D,"autre")</f>
      </c>
      <c r="F15" s="46">
        <f>=SUMIFS(Saisie!$G:$G,Saisie!$B:$B,$C$2,Saisie!$C:$C,$A15,Saisie!$D:$D,"charge_deductible")</f>
      </c>
      <c r="G15" s="46">
        <f>=SUMIFS(Saisie!$G:$G,Saisie!$B:$B,$C$2,Saisie!$C:$C,$A15,Saisie!$D:$D,"charge_non_deductible")</f>
      </c>
      <c r="H15" s="38">
        <f>=D15+E15</f>
      </c>
      <c r="I15" s="38">
        <f>=H15-F15</f>
      </c>
      <c r="J15" s="50">
        <f>=IF(H15&gt;500000,5,IF(H15&gt;250000,4,IF(H15&gt;100000,3,IF(H15&gt;50000,2,IF(H15&gt;10000,1,0)))))</f>
      </c>
      <c r="K15" s="51">
        <f>=CHOOSE(J15+1,0,0.1,0.19,0.28,0.36,0.46)</f>
      </c>
      <c r="L15" s="52">
        <f>=MAX(0,I15*K15)</f>
      </c>
      <c r="M15" s="46">
        <f>=H15+C15</f>
      </c>
      <c r="N15" s="38">
        <f>=SUM(OFFSET($M$5,MAX(0,ROW()-8),0,MIN(4,ROW()-4),1))</f>
      </c>
      <c r="O15" s="53">
        <f>=IF(N15&gt;50000,"⚠ DÉPASSEMENT",IF(N15&gt;40000,"⚠ VIGILANCE","✓ OK"))</f>
      </c>
    </row>
    <row r="16" spans="1:15" x14ac:dyDescent="0.25">
      <c r="A16" s="50">
        <v>12</v>
      </c>
      <c r="B16" s="46">
        <f>=SUMIFS(Saisie!$G:$G,Saisie!$B:$B,$C$2,Saisie!$C:$C,$A16,Saisie!$D:$D,"don")</f>
      </c>
      <c r="C16" s="46">
        <f>=SUMIFS(Saisie!$G:$G,Saisie!$B:$B,$C$2,Saisie!$C:$C,$A16,Saisie!$D:$D,"subvention")</f>
      </c>
      <c r="D16" s="46">
        <f>=SUMIFS(Saisie!$G:$G,Saisie!$B:$B,$C$2,Saisie!$C:$C,$A16,Saisie!$D:$D,"prestation")</f>
      </c>
      <c r="E16" s="46">
        <f>=SUMIFS(Saisie!$G:$G,Saisie!$B:$B,$C$2,Saisie!$C:$C,$A16,Saisie!$D:$D,"autre")</f>
      </c>
      <c r="F16" s="46">
        <f>=SUMIFS(Saisie!$G:$G,Saisie!$B:$B,$C$2,Saisie!$C:$C,$A16,Saisie!$D:$D,"charge_deductible")</f>
      </c>
      <c r="G16" s="46">
        <f>=SUMIFS(Saisie!$G:$G,Saisie!$B:$B,$C$2,Saisie!$C:$C,$A16,Saisie!$D:$D,"charge_non_deductible")</f>
      </c>
      <c r="H16" s="38">
        <f>=D16+E16</f>
      </c>
      <c r="I16" s="38">
        <f>=H16-F16</f>
      </c>
      <c r="J16" s="50">
        <f>=IF(H16&gt;500000,5,IF(H16&gt;250000,4,IF(H16&gt;100000,3,IF(H16&gt;50000,2,IF(H16&gt;10000,1,0)))))</f>
      </c>
      <c r="K16" s="51">
        <f>=CHOOSE(J16+1,0,0.1,0.19,0.28,0.36,0.46)</f>
      </c>
      <c r="L16" s="52">
        <f>=MAX(0,I16*K16)</f>
      </c>
      <c r="M16" s="46">
        <f>=H16+C16</f>
      </c>
      <c r="N16" s="38">
        <f>=SUM(OFFSET($M$5,MAX(0,ROW()-8),0,MIN(4,ROW()-4),1))</f>
      </c>
      <c r="O16" s="53">
        <f>=IF(N16&gt;50000,"⚠ DÉPASSEMENT",IF(N16&gt;40000,"⚠ VIGILANCE","✓ OK"))</f>
      </c>
    </row>
    <row r="17" spans="1:15" x14ac:dyDescent="0.25">
      <c r="A17" s="50">
        <v>13</v>
      </c>
      <c r="B17" s="46">
        <f>=SUMIFS(Saisie!$G:$G,Saisie!$B:$B,$C$2,Saisie!$C:$C,$A17,Saisie!$D:$D,"don")</f>
      </c>
      <c r="C17" s="46">
        <f>=SUMIFS(Saisie!$G:$G,Saisie!$B:$B,$C$2,Saisie!$C:$C,$A17,Saisie!$D:$D,"subvention")</f>
      </c>
      <c r="D17" s="46">
        <f>=SUMIFS(Saisie!$G:$G,Saisie!$B:$B,$C$2,Saisie!$C:$C,$A17,Saisie!$D:$D,"prestation")</f>
      </c>
      <c r="E17" s="46">
        <f>=SUMIFS(Saisie!$G:$G,Saisie!$B:$B,$C$2,Saisie!$C:$C,$A17,Saisie!$D:$D,"autre")</f>
      </c>
      <c r="F17" s="46">
        <f>=SUMIFS(Saisie!$G:$G,Saisie!$B:$B,$C$2,Saisie!$C:$C,$A17,Saisie!$D:$D,"charge_deductible")</f>
      </c>
      <c r="G17" s="46">
        <f>=SUMIFS(Saisie!$G:$G,Saisie!$B:$B,$C$2,Saisie!$C:$C,$A17,Saisie!$D:$D,"charge_non_deductible")</f>
      </c>
      <c r="H17" s="38">
        <f>=D17+E17</f>
      </c>
      <c r="I17" s="38">
        <f>=H17-F17</f>
      </c>
      <c r="J17" s="50">
        <f>=IF(H17&gt;500000,5,IF(H17&gt;250000,4,IF(H17&gt;100000,3,IF(H17&gt;50000,2,IF(H17&gt;10000,1,0)))))</f>
      </c>
      <c r="K17" s="51">
        <f>=CHOOSE(J17+1,0,0.1,0.19,0.28,0.36,0.46)</f>
      </c>
      <c r="L17" s="52">
        <f>=MAX(0,I17*K17)</f>
      </c>
      <c r="M17" s="46">
        <f>=H17+C17</f>
      </c>
      <c r="N17" s="38">
        <f>=SUM(OFFSET($M$5,MAX(0,ROW()-8),0,MIN(4,ROW()-4),1))</f>
      </c>
      <c r="O17" s="53">
        <f>=IF(N17&gt;50000,"⚠ DÉPASSEMENT",IF(N17&gt;40000,"⚠ VIGILANCE","✓ OK"))</f>
      </c>
    </row>
    <row r="18" spans="1:15" x14ac:dyDescent="0.25">
      <c r="A18" s="50">
        <v>14</v>
      </c>
      <c r="B18" s="46">
        <f>=SUMIFS(Saisie!$G:$G,Saisie!$B:$B,$C$2,Saisie!$C:$C,$A18,Saisie!$D:$D,"don")</f>
      </c>
      <c r="C18" s="46">
        <f>=SUMIFS(Saisie!$G:$G,Saisie!$B:$B,$C$2,Saisie!$C:$C,$A18,Saisie!$D:$D,"subvention")</f>
      </c>
      <c r="D18" s="46">
        <f>=SUMIFS(Saisie!$G:$G,Saisie!$B:$B,$C$2,Saisie!$C:$C,$A18,Saisie!$D:$D,"prestation")</f>
      </c>
      <c r="E18" s="46">
        <f>=SUMIFS(Saisie!$G:$G,Saisie!$B:$B,$C$2,Saisie!$C:$C,$A18,Saisie!$D:$D,"autre")</f>
      </c>
      <c r="F18" s="46">
        <f>=SUMIFS(Saisie!$G:$G,Saisie!$B:$B,$C$2,Saisie!$C:$C,$A18,Saisie!$D:$D,"charge_deductible")</f>
      </c>
      <c r="G18" s="46">
        <f>=SUMIFS(Saisie!$G:$G,Saisie!$B:$B,$C$2,Saisie!$C:$C,$A18,Saisie!$D:$D,"charge_non_deductible")</f>
      </c>
      <c r="H18" s="38">
        <f>=D18+E18</f>
      </c>
      <c r="I18" s="38">
        <f>=H18-F18</f>
      </c>
      <c r="J18" s="50">
        <f>=IF(H18&gt;500000,5,IF(H18&gt;250000,4,IF(H18&gt;100000,3,IF(H18&gt;50000,2,IF(H18&gt;10000,1,0)))))</f>
      </c>
      <c r="K18" s="51">
        <f>=CHOOSE(J18+1,0,0.1,0.19,0.28,0.36,0.46)</f>
      </c>
      <c r="L18" s="52">
        <f>=MAX(0,I18*K18)</f>
      </c>
      <c r="M18" s="46">
        <f>=H18+C18</f>
      </c>
      <c r="N18" s="38">
        <f>=SUM(OFFSET($M$5,MAX(0,ROW()-8),0,MIN(4,ROW()-4),1))</f>
      </c>
      <c r="O18" s="53">
        <f>=IF(N18&gt;50000,"⚠ DÉPASSEMENT",IF(N18&gt;40000,"⚠ VIGILANCE","✓ OK"))</f>
      </c>
    </row>
    <row r="19" spans="1:15" x14ac:dyDescent="0.25">
      <c r="A19" s="50">
        <v>15</v>
      </c>
      <c r="B19" s="46">
        <f>=SUMIFS(Saisie!$G:$G,Saisie!$B:$B,$C$2,Saisie!$C:$C,$A19,Saisie!$D:$D,"don")</f>
      </c>
      <c r="C19" s="46">
        <f>=SUMIFS(Saisie!$G:$G,Saisie!$B:$B,$C$2,Saisie!$C:$C,$A19,Saisie!$D:$D,"subvention")</f>
      </c>
      <c r="D19" s="46">
        <f>=SUMIFS(Saisie!$G:$G,Saisie!$B:$B,$C$2,Saisie!$C:$C,$A19,Saisie!$D:$D,"prestation")</f>
      </c>
      <c r="E19" s="46">
        <f>=SUMIFS(Saisie!$G:$G,Saisie!$B:$B,$C$2,Saisie!$C:$C,$A19,Saisie!$D:$D,"autre")</f>
      </c>
      <c r="F19" s="46">
        <f>=SUMIFS(Saisie!$G:$G,Saisie!$B:$B,$C$2,Saisie!$C:$C,$A19,Saisie!$D:$D,"charge_deductible")</f>
      </c>
      <c r="G19" s="46">
        <f>=SUMIFS(Saisie!$G:$G,Saisie!$B:$B,$C$2,Saisie!$C:$C,$A19,Saisie!$D:$D,"charge_non_deductible")</f>
      </c>
      <c r="H19" s="38">
        <f>=D19+E19</f>
      </c>
      <c r="I19" s="38">
        <f>=H19-F19</f>
      </c>
      <c r="J19" s="50">
        <f>=IF(H19&gt;500000,5,IF(H19&gt;250000,4,IF(H19&gt;100000,3,IF(H19&gt;50000,2,IF(H19&gt;10000,1,0)))))</f>
      </c>
      <c r="K19" s="51">
        <f>=CHOOSE(J19+1,0,0.1,0.19,0.28,0.36,0.46)</f>
      </c>
      <c r="L19" s="52">
        <f>=MAX(0,I19*K19)</f>
      </c>
      <c r="M19" s="46">
        <f>=H19+C19</f>
      </c>
      <c r="N19" s="38">
        <f>=SUM(OFFSET($M$5,MAX(0,ROW()-8),0,MIN(4,ROW()-4),1))</f>
      </c>
      <c r="O19" s="53">
        <f>=IF(N19&gt;50000,"⚠ DÉPASSEMENT",IF(N19&gt;40000,"⚠ VIGILANCE","✓ OK"))</f>
      </c>
    </row>
    <row r="20" spans="1:15" x14ac:dyDescent="0.25">
      <c r="A20" s="50">
        <v>16</v>
      </c>
      <c r="B20" s="46">
        <f>=SUMIFS(Saisie!$G:$G,Saisie!$B:$B,$C$2,Saisie!$C:$C,$A20,Saisie!$D:$D,"don")</f>
      </c>
      <c r="C20" s="46">
        <f>=SUMIFS(Saisie!$G:$G,Saisie!$B:$B,$C$2,Saisie!$C:$C,$A20,Saisie!$D:$D,"subvention")</f>
      </c>
      <c r="D20" s="46">
        <f>=SUMIFS(Saisie!$G:$G,Saisie!$B:$B,$C$2,Saisie!$C:$C,$A20,Saisie!$D:$D,"prestation")</f>
      </c>
      <c r="E20" s="46">
        <f>=SUMIFS(Saisie!$G:$G,Saisie!$B:$B,$C$2,Saisie!$C:$C,$A20,Saisie!$D:$D,"autre")</f>
      </c>
      <c r="F20" s="46">
        <f>=SUMIFS(Saisie!$G:$G,Saisie!$B:$B,$C$2,Saisie!$C:$C,$A20,Saisie!$D:$D,"charge_deductible")</f>
      </c>
      <c r="G20" s="46">
        <f>=SUMIFS(Saisie!$G:$G,Saisie!$B:$B,$C$2,Saisie!$C:$C,$A20,Saisie!$D:$D,"charge_non_deductible")</f>
      </c>
      <c r="H20" s="38">
        <f>=D20+E20</f>
      </c>
      <c r="I20" s="38">
        <f>=H20-F20</f>
      </c>
      <c r="J20" s="50">
        <f>=IF(H20&gt;500000,5,IF(H20&gt;250000,4,IF(H20&gt;100000,3,IF(H20&gt;50000,2,IF(H20&gt;10000,1,0)))))</f>
      </c>
      <c r="K20" s="51">
        <f>=CHOOSE(J20+1,0,0.1,0.19,0.28,0.36,0.46)</f>
      </c>
      <c r="L20" s="52">
        <f>=MAX(0,I20*K20)</f>
      </c>
      <c r="M20" s="46">
        <f>=H20+C20</f>
      </c>
      <c r="N20" s="38">
        <f>=SUM(OFFSET($M$5,MAX(0,ROW()-8),0,MIN(4,ROW()-4),1))</f>
      </c>
      <c r="O20" s="53">
        <f>=IF(N20&gt;50000,"⚠ DÉPASSEMENT",IF(N20&gt;40000,"⚠ VIGILANCE","✓ OK"))</f>
      </c>
    </row>
    <row r="21" spans="1:15" x14ac:dyDescent="0.25">
      <c r="A21" s="50">
        <v>17</v>
      </c>
      <c r="B21" s="46">
        <f>=SUMIFS(Saisie!$G:$G,Saisie!$B:$B,$C$2,Saisie!$C:$C,$A21,Saisie!$D:$D,"don")</f>
      </c>
      <c r="C21" s="46">
        <f>=SUMIFS(Saisie!$G:$G,Saisie!$B:$B,$C$2,Saisie!$C:$C,$A21,Saisie!$D:$D,"subvention")</f>
      </c>
      <c r="D21" s="46">
        <f>=SUMIFS(Saisie!$G:$G,Saisie!$B:$B,$C$2,Saisie!$C:$C,$A21,Saisie!$D:$D,"prestation")</f>
      </c>
      <c r="E21" s="46">
        <f>=SUMIFS(Saisie!$G:$G,Saisie!$B:$B,$C$2,Saisie!$C:$C,$A21,Saisie!$D:$D,"autre")</f>
      </c>
      <c r="F21" s="46">
        <f>=SUMIFS(Saisie!$G:$G,Saisie!$B:$B,$C$2,Saisie!$C:$C,$A21,Saisie!$D:$D,"charge_deductible")</f>
      </c>
      <c r="G21" s="46">
        <f>=SUMIFS(Saisie!$G:$G,Saisie!$B:$B,$C$2,Saisie!$C:$C,$A21,Saisie!$D:$D,"charge_non_deductible")</f>
      </c>
      <c r="H21" s="38">
        <f>=D21+E21</f>
      </c>
      <c r="I21" s="38">
        <f>=H21-F21</f>
      </c>
      <c r="J21" s="50">
        <f>=IF(H21&gt;500000,5,IF(H21&gt;250000,4,IF(H21&gt;100000,3,IF(H21&gt;50000,2,IF(H21&gt;10000,1,0)))))</f>
      </c>
      <c r="K21" s="51">
        <f>=CHOOSE(J21+1,0,0.1,0.19,0.28,0.36,0.46)</f>
      </c>
      <c r="L21" s="52">
        <f>=MAX(0,I21*K21)</f>
      </c>
      <c r="M21" s="46">
        <f>=H21+C21</f>
      </c>
      <c r="N21" s="38">
        <f>=SUM(OFFSET($M$5,MAX(0,ROW()-8),0,MIN(4,ROW()-4),1))</f>
      </c>
      <c r="O21" s="53">
        <f>=IF(N21&gt;50000,"⚠ DÉPASSEMENT",IF(N21&gt;40000,"⚠ VIGILANCE","✓ OK"))</f>
      </c>
    </row>
    <row r="22" spans="1:15" x14ac:dyDescent="0.25">
      <c r="A22" s="50">
        <v>18</v>
      </c>
      <c r="B22" s="46">
        <f>=SUMIFS(Saisie!$G:$G,Saisie!$B:$B,$C$2,Saisie!$C:$C,$A22,Saisie!$D:$D,"don")</f>
      </c>
      <c r="C22" s="46">
        <f>=SUMIFS(Saisie!$G:$G,Saisie!$B:$B,$C$2,Saisie!$C:$C,$A22,Saisie!$D:$D,"subvention")</f>
      </c>
      <c r="D22" s="46">
        <f>=SUMIFS(Saisie!$G:$G,Saisie!$B:$B,$C$2,Saisie!$C:$C,$A22,Saisie!$D:$D,"prestation")</f>
      </c>
      <c r="E22" s="46">
        <f>=SUMIFS(Saisie!$G:$G,Saisie!$B:$B,$C$2,Saisie!$C:$C,$A22,Saisie!$D:$D,"autre")</f>
      </c>
      <c r="F22" s="46">
        <f>=SUMIFS(Saisie!$G:$G,Saisie!$B:$B,$C$2,Saisie!$C:$C,$A22,Saisie!$D:$D,"charge_deductible")</f>
      </c>
      <c r="G22" s="46">
        <f>=SUMIFS(Saisie!$G:$G,Saisie!$B:$B,$C$2,Saisie!$C:$C,$A22,Saisie!$D:$D,"charge_non_deductible")</f>
      </c>
      <c r="H22" s="38">
        <f>=D22+E22</f>
      </c>
      <c r="I22" s="38">
        <f>=H22-F22</f>
      </c>
      <c r="J22" s="50">
        <f>=IF(H22&gt;500000,5,IF(H22&gt;250000,4,IF(H22&gt;100000,3,IF(H22&gt;50000,2,IF(H22&gt;10000,1,0)))))</f>
      </c>
      <c r="K22" s="51">
        <f>=CHOOSE(J22+1,0,0.1,0.19,0.28,0.36,0.46)</f>
      </c>
      <c r="L22" s="52">
        <f>=MAX(0,I22*K22)</f>
      </c>
      <c r="M22" s="46">
        <f>=H22+C22</f>
      </c>
      <c r="N22" s="38">
        <f>=SUM(OFFSET($M$5,MAX(0,ROW()-8),0,MIN(4,ROW()-4),1))</f>
      </c>
      <c r="O22" s="53">
        <f>=IF(N22&gt;50000,"⚠ DÉPASSEMENT",IF(N22&gt;40000,"⚠ VIGILANCE","✓ OK"))</f>
      </c>
    </row>
    <row r="23" spans="1:15" x14ac:dyDescent="0.25">
      <c r="A23" s="50">
        <v>19</v>
      </c>
      <c r="B23" s="46">
        <f>=SUMIFS(Saisie!$G:$G,Saisie!$B:$B,$C$2,Saisie!$C:$C,$A23,Saisie!$D:$D,"don")</f>
      </c>
      <c r="C23" s="46">
        <f>=SUMIFS(Saisie!$G:$G,Saisie!$B:$B,$C$2,Saisie!$C:$C,$A23,Saisie!$D:$D,"subvention")</f>
      </c>
      <c r="D23" s="46">
        <f>=SUMIFS(Saisie!$G:$G,Saisie!$B:$B,$C$2,Saisie!$C:$C,$A23,Saisie!$D:$D,"prestation")</f>
      </c>
      <c r="E23" s="46">
        <f>=SUMIFS(Saisie!$G:$G,Saisie!$B:$B,$C$2,Saisie!$C:$C,$A23,Saisie!$D:$D,"autre")</f>
      </c>
      <c r="F23" s="46">
        <f>=SUMIFS(Saisie!$G:$G,Saisie!$B:$B,$C$2,Saisie!$C:$C,$A23,Saisie!$D:$D,"charge_deductible")</f>
      </c>
      <c r="G23" s="46">
        <f>=SUMIFS(Saisie!$G:$G,Saisie!$B:$B,$C$2,Saisie!$C:$C,$A23,Saisie!$D:$D,"charge_non_deductible")</f>
      </c>
      <c r="H23" s="38">
        <f>=D23+E23</f>
      </c>
      <c r="I23" s="38">
        <f>=H23-F23</f>
      </c>
      <c r="J23" s="50">
        <f>=IF(H23&gt;500000,5,IF(H23&gt;250000,4,IF(H23&gt;100000,3,IF(H23&gt;50000,2,IF(H23&gt;10000,1,0)))))</f>
      </c>
      <c r="K23" s="51">
        <f>=CHOOSE(J23+1,0,0.1,0.19,0.28,0.36,0.46)</f>
      </c>
      <c r="L23" s="52">
        <f>=MAX(0,I23*K23)</f>
      </c>
      <c r="M23" s="46">
        <f>=H23+C23</f>
      </c>
      <c r="N23" s="38">
        <f>=SUM(OFFSET($M$5,MAX(0,ROW()-8),0,MIN(4,ROW()-4),1))</f>
      </c>
      <c r="O23" s="53">
        <f>=IF(N23&gt;50000,"⚠ DÉPASSEMENT",IF(N23&gt;40000,"⚠ VIGILANCE","✓ OK"))</f>
      </c>
    </row>
    <row r="24" spans="1:15" x14ac:dyDescent="0.25">
      <c r="A24" s="50">
        <v>20</v>
      </c>
      <c r="B24" s="46">
        <f>=SUMIFS(Saisie!$G:$G,Saisie!$B:$B,$C$2,Saisie!$C:$C,$A24,Saisie!$D:$D,"don")</f>
      </c>
      <c r="C24" s="46">
        <f>=SUMIFS(Saisie!$G:$G,Saisie!$B:$B,$C$2,Saisie!$C:$C,$A24,Saisie!$D:$D,"subvention")</f>
      </c>
      <c r="D24" s="46">
        <f>=SUMIFS(Saisie!$G:$G,Saisie!$B:$B,$C$2,Saisie!$C:$C,$A24,Saisie!$D:$D,"prestation")</f>
      </c>
      <c r="E24" s="46">
        <f>=SUMIFS(Saisie!$G:$G,Saisie!$B:$B,$C$2,Saisie!$C:$C,$A24,Saisie!$D:$D,"autre")</f>
      </c>
      <c r="F24" s="46">
        <f>=SUMIFS(Saisie!$G:$G,Saisie!$B:$B,$C$2,Saisie!$C:$C,$A24,Saisie!$D:$D,"charge_deductible")</f>
      </c>
      <c r="G24" s="46">
        <f>=SUMIFS(Saisie!$G:$G,Saisie!$B:$B,$C$2,Saisie!$C:$C,$A24,Saisie!$D:$D,"charge_non_deductible")</f>
      </c>
      <c r="H24" s="38">
        <f>=D24+E24</f>
      </c>
      <c r="I24" s="38">
        <f>=H24-F24</f>
      </c>
      <c r="J24" s="50">
        <f>=IF(H24&gt;500000,5,IF(H24&gt;250000,4,IF(H24&gt;100000,3,IF(H24&gt;50000,2,IF(H24&gt;10000,1,0)))))</f>
      </c>
      <c r="K24" s="51">
        <f>=CHOOSE(J24+1,0,0.1,0.19,0.28,0.36,0.46)</f>
      </c>
      <c r="L24" s="52">
        <f>=MAX(0,I24*K24)</f>
      </c>
      <c r="M24" s="46">
        <f>=H24+C24</f>
      </c>
      <c r="N24" s="38">
        <f>=SUM(OFFSET($M$5,MAX(0,ROW()-8),0,MIN(4,ROW()-4),1))</f>
      </c>
      <c r="O24" s="53">
        <f>=IF(N24&gt;50000,"⚠ DÉPASSEMENT",IF(N24&gt;40000,"⚠ VIGILANCE","✓ OK"))</f>
      </c>
    </row>
    <row r="25" spans="1:15" x14ac:dyDescent="0.25">
      <c r="A25" s="50">
        <v>21</v>
      </c>
      <c r="B25" s="46">
        <f>=SUMIFS(Saisie!$G:$G,Saisie!$B:$B,$C$2,Saisie!$C:$C,$A25,Saisie!$D:$D,"don")</f>
      </c>
      <c r="C25" s="46">
        <f>=SUMIFS(Saisie!$G:$G,Saisie!$B:$B,$C$2,Saisie!$C:$C,$A25,Saisie!$D:$D,"subvention")</f>
      </c>
      <c r="D25" s="46">
        <f>=SUMIFS(Saisie!$G:$G,Saisie!$B:$B,$C$2,Saisie!$C:$C,$A25,Saisie!$D:$D,"prestation")</f>
      </c>
      <c r="E25" s="46">
        <f>=SUMIFS(Saisie!$G:$G,Saisie!$B:$B,$C$2,Saisie!$C:$C,$A25,Saisie!$D:$D,"autre")</f>
      </c>
      <c r="F25" s="46">
        <f>=SUMIFS(Saisie!$G:$G,Saisie!$B:$B,$C$2,Saisie!$C:$C,$A25,Saisie!$D:$D,"charge_deductible")</f>
      </c>
      <c r="G25" s="46">
        <f>=SUMIFS(Saisie!$G:$G,Saisie!$B:$B,$C$2,Saisie!$C:$C,$A25,Saisie!$D:$D,"charge_non_deductible")</f>
      </c>
      <c r="H25" s="38">
        <f>=D25+E25</f>
      </c>
      <c r="I25" s="38">
        <f>=H25-F25</f>
      </c>
      <c r="J25" s="50">
        <f>=IF(H25&gt;500000,5,IF(H25&gt;250000,4,IF(H25&gt;100000,3,IF(H25&gt;50000,2,IF(H25&gt;10000,1,0)))))</f>
      </c>
      <c r="K25" s="51">
        <f>=CHOOSE(J25+1,0,0.1,0.19,0.28,0.36,0.46)</f>
      </c>
      <c r="L25" s="52">
        <f>=MAX(0,I25*K25)</f>
      </c>
      <c r="M25" s="46">
        <f>=H25+C25</f>
      </c>
      <c r="N25" s="38">
        <f>=SUM(OFFSET($M$5,MAX(0,ROW()-8),0,MIN(4,ROW()-4),1))</f>
      </c>
      <c r="O25" s="53">
        <f>=IF(N25&gt;50000,"⚠ DÉPASSEMENT",IF(N25&gt;40000,"⚠ VIGILANCE","✓ OK"))</f>
      </c>
    </row>
    <row r="26" spans="1:15" x14ac:dyDescent="0.25">
      <c r="A26" s="50">
        <v>22</v>
      </c>
      <c r="B26" s="46">
        <f>=SUMIFS(Saisie!$G:$G,Saisie!$B:$B,$C$2,Saisie!$C:$C,$A26,Saisie!$D:$D,"don")</f>
      </c>
      <c r="C26" s="46">
        <f>=SUMIFS(Saisie!$G:$G,Saisie!$B:$B,$C$2,Saisie!$C:$C,$A26,Saisie!$D:$D,"subvention")</f>
      </c>
      <c r="D26" s="46">
        <f>=SUMIFS(Saisie!$G:$G,Saisie!$B:$B,$C$2,Saisie!$C:$C,$A26,Saisie!$D:$D,"prestation")</f>
      </c>
      <c r="E26" s="46">
        <f>=SUMIFS(Saisie!$G:$G,Saisie!$B:$B,$C$2,Saisie!$C:$C,$A26,Saisie!$D:$D,"autre")</f>
      </c>
      <c r="F26" s="46">
        <f>=SUMIFS(Saisie!$G:$G,Saisie!$B:$B,$C$2,Saisie!$C:$C,$A26,Saisie!$D:$D,"charge_deductible")</f>
      </c>
      <c r="G26" s="46">
        <f>=SUMIFS(Saisie!$G:$G,Saisie!$B:$B,$C$2,Saisie!$C:$C,$A26,Saisie!$D:$D,"charge_non_deductible")</f>
      </c>
      <c r="H26" s="38">
        <f>=D26+E26</f>
      </c>
      <c r="I26" s="38">
        <f>=H26-F26</f>
      </c>
      <c r="J26" s="50">
        <f>=IF(H26&gt;500000,5,IF(H26&gt;250000,4,IF(H26&gt;100000,3,IF(H26&gt;50000,2,IF(H26&gt;10000,1,0)))))</f>
      </c>
      <c r="K26" s="51">
        <f>=CHOOSE(J26+1,0,0.1,0.19,0.28,0.36,0.46)</f>
      </c>
      <c r="L26" s="52">
        <f>=MAX(0,I26*K26)</f>
      </c>
      <c r="M26" s="46">
        <f>=H26+C26</f>
      </c>
      <c r="N26" s="38">
        <f>=SUM(OFFSET($M$5,MAX(0,ROW()-8),0,MIN(4,ROW()-4),1))</f>
      </c>
      <c r="O26" s="53">
        <f>=IF(N26&gt;50000,"⚠ DÉPASSEMENT",IF(N26&gt;40000,"⚠ VIGILANCE","✓ OK"))</f>
      </c>
    </row>
    <row r="27" spans="1:15" x14ac:dyDescent="0.25">
      <c r="A27" s="50">
        <v>23</v>
      </c>
      <c r="B27" s="46">
        <f>=SUMIFS(Saisie!$G:$G,Saisie!$B:$B,$C$2,Saisie!$C:$C,$A27,Saisie!$D:$D,"don")</f>
      </c>
      <c r="C27" s="46">
        <f>=SUMIFS(Saisie!$G:$G,Saisie!$B:$B,$C$2,Saisie!$C:$C,$A27,Saisie!$D:$D,"subvention")</f>
      </c>
      <c r="D27" s="46">
        <f>=SUMIFS(Saisie!$G:$G,Saisie!$B:$B,$C$2,Saisie!$C:$C,$A27,Saisie!$D:$D,"prestation")</f>
      </c>
      <c r="E27" s="46">
        <f>=SUMIFS(Saisie!$G:$G,Saisie!$B:$B,$C$2,Saisie!$C:$C,$A27,Saisie!$D:$D,"autre")</f>
      </c>
      <c r="F27" s="46">
        <f>=SUMIFS(Saisie!$G:$G,Saisie!$B:$B,$C$2,Saisie!$C:$C,$A27,Saisie!$D:$D,"charge_deductible")</f>
      </c>
      <c r="G27" s="46">
        <f>=SUMIFS(Saisie!$G:$G,Saisie!$B:$B,$C$2,Saisie!$C:$C,$A27,Saisie!$D:$D,"charge_non_deductible")</f>
      </c>
      <c r="H27" s="38">
        <f>=D27+E27</f>
      </c>
      <c r="I27" s="38">
        <f>=H27-F27</f>
      </c>
      <c r="J27" s="50">
        <f>=IF(H27&gt;500000,5,IF(H27&gt;250000,4,IF(H27&gt;100000,3,IF(H27&gt;50000,2,IF(H27&gt;10000,1,0)))))</f>
      </c>
      <c r="K27" s="51">
        <f>=CHOOSE(J27+1,0,0.1,0.19,0.28,0.36,0.46)</f>
      </c>
      <c r="L27" s="52">
        <f>=MAX(0,I27*K27)</f>
      </c>
      <c r="M27" s="46">
        <f>=H27+C27</f>
      </c>
      <c r="N27" s="38">
        <f>=SUM(OFFSET($M$5,MAX(0,ROW()-8),0,MIN(4,ROW()-4),1))</f>
      </c>
      <c r="O27" s="53">
        <f>=IF(N27&gt;50000,"⚠ DÉPASSEMENT",IF(N27&gt;40000,"⚠ VIGILANCE","✓ OK"))</f>
      </c>
    </row>
    <row r="28" spans="1:15" x14ac:dyDescent="0.25">
      <c r="A28" s="50">
        <v>24</v>
      </c>
      <c r="B28" s="46">
        <f>=SUMIFS(Saisie!$G:$G,Saisie!$B:$B,$C$2,Saisie!$C:$C,$A28,Saisie!$D:$D,"don")</f>
      </c>
      <c r="C28" s="46">
        <f>=SUMIFS(Saisie!$G:$G,Saisie!$B:$B,$C$2,Saisie!$C:$C,$A28,Saisie!$D:$D,"subvention")</f>
      </c>
      <c r="D28" s="46">
        <f>=SUMIFS(Saisie!$G:$G,Saisie!$B:$B,$C$2,Saisie!$C:$C,$A28,Saisie!$D:$D,"prestation")</f>
      </c>
      <c r="E28" s="46">
        <f>=SUMIFS(Saisie!$G:$G,Saisie!$B:$B,$C$2,Saisie!$C:$C,$A28,Saisie!$D:$D,"autre")</f>
      </c>
      <c r="F28" s="46">
        <f>=SUMIFS(Saisie!$G:$G,Saisie!$B:$B,$C$2,Saisie!$C:$C,$A28,Saisie!$D:$D,"charge_deductible")</f>
      </c>
      <c r="G28" s="46">
        <f>=SUMIFS(Saisie!$G:$G,Saisie!$B:$B,$C$2,Saisie!$C:$C,$A28,Saisie!$D:$D,"charge_non_deductible")</f>
      </c>
      <c r="H28" s="38">
        <f>=D28+E28</f>
      </c>
      <c r="I28" s="38">
        <f>=H28-F28</f>
      </c>
      <c r="J28" s="50">
        <f>=IF(H28&gt;500000,5,IF(H28&gt;250000,4,IF(H28&gt;100000,3,IF(H28&gt;50000,2,IF(H28&gt;10000,1,0)))))</f>
      </c>
      <c r="K28" s="51">
        <f>=CHOOSE(J28+1,0,0.1,0.19,0.28,0.36,0.46)</f>
      </c>
      <c r="L28" s="52">
        <f>=MAX(0,I28*K28)</f>
      </c>
      <c r="M28" s="46">
        <f>=H28+C28</f>
      </c>
      <c r="N28" s="38">
        <f>=SUM(OFFSET($M$5,MAX(0,ROW()-8),0,MIN(4,ROW()-4),1))</f>
      </c>
      <c r="O28" s="53">
        <f>=IF(N28&gt;50000,"⚠ DÉPASSEMENT",IF(N28&gt;40000,"⚠ VIGILANCE","✓ OK"))</f>
      </c>
    </row>
    <row r="29" spans="1:15" x14ac:dyDescent="0.25">
      <c r="A29" s="50">
        <v>25</v>
      </c>
      <c r="B29" s="46">
        <f>=SUMIFS(Saisie!$G:$G,Saisie!$B:$B,$C$2,Saisie!$C:$C,$A29,Saisie!$D:$D,"don")</f>
      </c>
      <c r="C29" s="46">
        <f>=SUMIFS(Saisie!$G:$G,Saisie!$B:$B,$C$2,Saisie!$C:$C,$A29,Saisie!$D:$D,"subvention")</f>
      </c>
      <c r="D29" s="46">
        <f>=SUMIFS(Saisie!$G:$G,Saisie!$B:$B,$C$2,Saisie!$C:$C,$A29,Saisie!$D:$D,"prestation")</f>
      </c>
      <c r="E29" s="46">
        <f>=SUMIFS(Saisie!$G:$G,Saisie!$B:$B,$C$2,Saisie!$C:$C,$A29,Saisie!$D:$D,"autre")</f>
      </c>
      <c r="F29" s="46">
        <f>=SUMIFS(Saisie!$G:$G,Saisie!$B:$B,$C$2,Saisie!$C:$C,$A29,Saisie!$D:$D,"charge_deductible")</f>
      </c>
      <c r="G29" s="46">
        <f>=SUMIFS(Saisie!$G:$G,Saisie!$B:$B,$C$2,Saisie!$C:$C,$A29,Saisie!$D:$D,"charge_non_deductible")</f>
      </c>
      <c r="H29" s="38">
        <f>=D29+E29</f>
      </c>
      <c r="I29" s="38">
        <f>=H29-F29</f>
      </c>
      <c r="J29" s="50">
        <f>=IF(H29&gt;500000,5,IF(H29&gt;250000,4,IF(H29&gt;100000,3,IF(H29&gt;50000,2,IF(H29&gt;10000,1,0)))))</f>
      </c>
      <c r="K29" s="51">
        <f>=CHOOSE(J29+1,0,0.1,0.19,0.28,0.36,0.46)</f>
      </c>
      <c r="L29" s="52">
        <f>=MAX(0,I29*K29)</f>
      </c>
      <c r="M29" s="46">
        <f>=H29+C29</f>
      </c>
      <c r="N29" s="38">
        <f>=SUM(OFFSET($M$5,MAX(0,ROW()-8),0,MIN(4,ROW()-4),1))</f>
      </c>
      <c r="O29" s="53">
        <f>=IF(N29&gt;50000,"⚠ DÉPASSEMENT",IF(N29&gt;40000,"⚠ VIGILANCE","✓ OK"))</f>
      </c>
    </row>
    <row r="30" spans="1:15" x14ac:dyDescent="0.25">
      <c r="A30" s="50">
        <v>26</v>
      </c>
      <c r="B30" s="46">
        <f>=SUMIFS(Saisie!$G:$G,Saisie!$B:$B,$C$2,Saisie!$C:$C,$A30,Saisie!$D:$D,"don")</f>
      </c>
      <c r="C30" s="46">
        <f>=SUMIFS(Saisie!$G:$G,Saisie!$B:$B,$C$2,Saisie!$C:$C,$A30,Saisie!$D:$D,"subvention")</f>
      </c>
      <c r="D30" s="46">
        <f>=SUMIFS(Saisie!$G:$G,Saisie!$B:$B,$C$2,Saisie!$C:$C,$A30,Saisie!$D:$D,"prestation")</f>
      </c>
      <c r="E30" s="46">
        <f>=SUMIFS(Saisie!$G:$G,Saisie!$B:$B,$C$2,Saisie!$C:$C,$A30,Saisie!$D:$D,"autre")</f>
      </c>
      <c r="F30" s="46">
        <f>=SUMIFS(Saisie!$G:$G,Saisie!$B:$B,$C$2,Saisie!$C:$C,$A30,Saisie!$D:$D,"charge_deductible")</f>
      </c>
      <c r="G30" s="46">
        <f>=SUMIFS(Saisie!$G:$G,Saisie!$B:$B,$C$2,Saisie!$C:$C,$A30,Saisie!$D:$D,"charge_non_deductible")</f>
      </c>
      <c r="H30" s="38">
        <f>=D30+E30</f>
      </c>
      <c r="I30" s="38">
        <f>=H30-F30</f>
      </c>
      <c r="J30" s="50">
        <f>=IF(H30&gt;500000,5,IF(H30&gt;250000,4,IF(H30&gt;100000,3,IF(H30&gt;50000,2,IF(H30&gt;10000,1,0)))))</f>
      </c>
      <c r="K30" s="51">
        <f>=CHOOSE(J30+1,0,0.1,0.19,0.28,0.36,0.46)</f>
      </c>
      <c r="L30" s="52">
        <f>=MAX(0,I30*K30)</f>
      </c>
      <c r="M30" s="46">
        <f>=H30+C30</f>
      </c>
      <c r="N30" s="38">
        <f>=SUM(OFFSET($M$5,MAX(0,ROW()-8),0,MIN(4,ROW()-4),1))</f>
      </c>
      <c r="O30" s="53">
        <f>=IF(N30&gt;50000,"⚠ DÉPASSEMENT",IF(N30&gt;40000,"⚠ VIGILANCE","✓ OK"))</f>
      </c>
    </row>
    <row r="31" spans="1:15" x14ac:dyDescent="0.25">
      <c r="A31" s="50">
        <v>27</v>
      </c>
      <c r="B31" s="46">
        <f>=SUMIFS(Saisie!$G:$G,Saisie!$B:$B,$C$2,Saisie!$C:$C,$A31,Saisie!$D:$D,"don")</f>
      </c>
      <c r="C31" s="46">
        <f>=SUMIFS(Saisie!$G:$G,Saisie!$B:$B,$C$2,Saisie!$C:$C,$A31,Saisie!$D:$D,"subvention")</f>
      </c>
      <c r="D31" s="46">
        <f>=SUMIFS(Saisie!$G:$G,Saisie!$B:$B,$C$2,Saisie!$C:$C,$A31,Saisie!$D:$D,"prestation")</f>
      </c>
      <c r="E31" s="46">
        <f>=SUMIFS(Saisie!$G:$G,Saisie!$B:$B,$C$2,Saisie!$C:$C,$A31,Saisie!$D:$D,"autre")</f>
      </c>
      <c r="F31" s="46">
        <f>=SUMIFS(Saisie!$G:$G,Saisie!$B:$B,$C$2,Saisie!$C:$C,$A31,Saisie!$D:$D,"charge_deductible")</f>
      </c>
      <c r="G31" s="46">
        <f>=SUMIFS(Saisie!$G:$G,Saisie!$B:$B,$C$2,Saisie!$C:$C,$A31,Saisie!$D:$D,"charge_non_deductible")</f>
      </c>
      <c r="H31" s="38">
        <f>=D31+E31</f>
      </c>
      <c r="I31" s="38">
        <f>=H31-F31</f>
      </c>
      <c r="J31" s="50">
        <f>=IF(H31&gt;500000,5,IF(H31&gt;250000,4,IF(H31&gt;100000,3,IF(H31&gt;50000,2,IF(H31&gt;10000,1,0)))))</f>
      </c>
      <c r="K31" s="51">
        <f>=CHOOSE(J31+1,0,0.1,0.19,0.28,0.36,0.46)</f>
      </c>
      <c r="L31" s="52">
        <f>=MAX(0,I31*K31)</f>
      </c>
      <c r="M31" s="46">
        <f>=H31+C31</f>
      </c>
      <c r="N31" s="38">
        <f>=SUM(OFFSET($M$5,MAX(0,ROW()-8),0,MIN(4,ROW()-4),1))</f>
      </c>
      <c r="O31" s="53">
        <f>=IF(N31&gt;50000,"⚠ DÉPASSEMENT",IF(N31&gt;40000,"⚠ VIGILANCE","✓ OK"))</f>
      </c>
    </row>
    <row r="32" spans="1:15" x14ac:dyDescent="0.25">
      <c r="A32" s="50">
        <v>28</v>
      </c>
      <c r="B32" s="46">
        <f>=SUMIFS(Saisie!$G:$G,Saisie!$B:$B,$C$2,Saisie!$C:$C,$A32,Saisie!$D:$D,"don")</f>
      </c>
      <c r="C32" s="46">
        <f>=SUMIFS(Saisie!$G:$G,Saisie!$B:$B,$C$2,Saisie!$C:$C,$A32,Saisie!$D:$D,"subvention")</f>
      </c>
      <c r="D32" s="46">
        <f>=SUMIFS(Saisie!$G:$G,Saisie!$B:$B,$C$2,Saisie!$C:$C,$A32,Saisie!$D:$D,"prestation")</f>
      </c>
      <c r="E32" s="46">
        <f>=SUMIFS(Saisie!$G:$G,Saisie!$B:$B,$C$2,Saisie!$C:$C,$A32,Saisie!$D:$D,"autre")</f>
      </c>
      <c r="F32" s="46">
        <f>=SUMIFS(Saisie!$G:$G,Saisie!$B:$B,$C$2,Saisie!$C:$C,$A32,Saisie!$D:$D,"charge_deductible")</f>
      </c>
      <c r="G32" s="46">
        <f>=SUMIFS(Saisie!$G:$G,Saisie!$B:$B,$C$2,Saisie!$C:$C,$A32,Saisie!$D:$D,"charge_non_deductible")</f>
      </c>
      <c r="H32" s="38">
        <f>=D32+E32</f>
      </c>
      <c r="I32" s="38">
        <f>=H32-F32</f>
      </c>
      <c r="J32" s="50">
        <f>=IF(H32&gt;500000,5,IF(H32&gt;250000,4,IF(H32&gt;100000,3,IF(H32&gt;50000,2,IF(H32&gt;10000,1,0)))))</f>
      </c>
      <c r="K32" s="51">
        <f>=CHOOSE(J32+1,0,0.1,0.19,0.28,0.36,0.46)</f>
      </c>
      <c r="L32" s="52">
        <f>=MAX(0,I32*K32)</f>
      </c>
      <c r="M32" s="46">
        <f>=H32+C32</f>
      </c>
      <c r="N32" s="38">
        <f>=SUM(OFFSET($M$5,MAX(0,ROW()-8),0,MIN(4,ROW()-4),1))</f>
      </c>
      <c r="O32" s="53">
        <f>=IF(N32&gt;50000,"⚠ DÉPASSEMENT",IF(N32&gt;40000,"⚠ VIGILANCE","✓ OK"))</f>
      </c>
    </row>
    <row r="33" spans="1:15" x14ac:dyDescent="0.25">
      <c r="A33" s="50">
        <v>29</v>
      </c>
      <c r="B33" s="46">
        <f>=SUMIFS(Saisie!$G:$G,Saisie!$B:$B,$C$2,Saisie!$C:$C,$A33,Saisie!$D:$D,"don")</f>
      </c>
      <c r="C33" s="46">
        <f>=SUMIFS(Saisie!$G:$G,Saisie!$B:$B,$C$2,Saisie!$C:$C,$A33,Saisie!$D:$D,"subvention")</f>
      </c>
      <c r="D33" s="46">
        <f>=SUMIFS(Saisie!$G:$G,Saisie!$B:$B,$C$2,Saisie!$C:$C,$A33,Saisie!$D:$D,"prestation")</f>
      </c>
      <c r="E33" s="46">
        <f>=SUMIFS(Saisie!$G:$G,Saisie!$B:$B,$C$2,Saisie!$C:$C,$A33,Saisie!$D:$D,"autre")</f>
      </c>
      <c r="F33" s="46">
        <f>=SUMIFS(Saisie!$G:$G,Saisie!$B:$B,$C$2,Saisie!$C:$C,$A33,Saisie!$D:$D,"charge_deductible")</f>
      </c>
      <c r="G33" s="46">
        <f>=SUMIFS(Saisie!$G:$G,Saisie!$B:$B,$C$2,Saisie!$C:$C,$A33,Saisie!$D:$D,"charge_non_deductible")</f>
      </c>
      <c r="H33" s="38">
        <f>=D33+E33</f>
      </c>
      <c r="I33" s="38">
        <f>=H33-F33</f>
      </c>
      <c r="J33" s="50">
        <f>=IF(H33&gt;500000,5,IF(H33&gt;250000,4,IF(H33&gt;100000,3,IF(H33&gt;50000,2,IF(H33&gt;10000,1,0)))))</f>
      </c>
      <c r="K33" s="51">
        <f>=CHOOSE(J33+1,0,0.1,0.19,0.28,0.36,0.46)</f>
      </c>
      <c r="L33" s="52">
        <f>=MAX(0,I33*K33)</f>
      </c>
      <c r="M33" s="46">
        <f>=H33+C33</f>
      </c>
      <c r="N33" s="38">
        <f>=SUM(OFFSET($M$5,MAX(0,ROW()-8),0,MIN(4,ROW()-4),1))</f>
      </c>
      <c r="O33" s="53">
        <f>=IF(N33&gt;50000,"⚠ DÉPASSEMENT",IF(N33&gt;40000,"⚠ VIGILANCE","✓ OK"))</f>
      </c>
    </row>
    <row r="34" spans="1:15" x14ac:dyDescent="0.25">
      <c r="A34" s="50">
        <v>30</v>
      </c>
      <c r="B34" s="46">
        <f>=SUMIFS(Saisie!$G:$G,Saisie!$B:$B,$C$2,Saisie!$C:$C,$A34,Saisie!$D:$D,"don")</f>
      </c>
      <c r="C34" s="46">
        <f>=SUMIFS(Saisie!$G:$G,Saisie!$B:$B,$C$2,Saisie!$C:$C,$A34,Saisie!$D:$D,"subvention")</f>
      </c>
      <c r="D34" s="46">
        <f>=SUMIFS(Saisie!$G:$G,Saisie!$B:$B,$C$2,Saisie!$C:$C,$A34,Saisie!$D:$D,"prestation")</f>
      </c>
      <c r="E34" s="46">
        <f>=SUMIFS(Saisie!$G:$G,Saisie!$B:$B,$C$2,Saisie!$C:$C,$A34,Saisie!$D:$D,"autre")</f>
      </c>
      <c r="F34" s="46">
        <f>=SUMIFS(Saisie!$G:$G,Saisie!$B:$B,$C$2,Saisie!$C:$C,$A34,Saisie!$D:$D,"charge_deductible")</f>
      </c>
      <c r="G34" s="46">
        <f>=SUMIFS(Saisie!$G:$G,Saisie!$B:$B,$C$2,Saisie!$C:$C,$A34,Saisie!$D:$D,"charge_non_deductible")</f>
      </c>
      <c r="H34" s="38">
        <f>=D34+E34</f>
      </c>
      <c r="I34" s="38">
        <f>=H34-F34</f>
      </c>
      <c r="J34" s="50">
        <f>=IF(H34&gt;500000,5,IF(H34&gt;250000,4,IF(H34&gt;100000,3,IF(H34&gt;50000,2,IF(H34&gt;10000,1,0)))))</f>
      </c>
      <c r="K34" s="51">
        <f>=CHOOSE(J34+1,0,0.1,0.19,0.28,0.36,0.46)</f>
      </c>
      <c r="L34" s="52">
        <f>=MAX(0,I34*K34)</f>
      </c>
      <c r="M34" s="46">
        <f>=H34+C34</f>
      </c>
      <c r="N34" s="38">
        <f>=SUM(OFFSET($M$5,MAX(0,ROW()-8),0,MIN(4,ROW()-4),1))</f>
      </c>
      <c r="O34" s="53">
        <f>=IF(N34&gt;50000,"⚠ DÉPASSEMENT",IF(N34&gt;40000,"⚠ VIGILANCE","✓ OK"))</f>
      </c>
    </row>
    <row r="35" spans="1:15" x14ac:dyDescent="0.25">
      <c r="A35" s="50">
        <v>31</v>
      </c>
      <c r="B35" s="46">
        <f>=SUMIFS(Saisie!$G:$G,Saisie!$B:$B,$C$2,Saisie!$C:$C,$A35,Saisie!$D:$D,"don")</f>
      </c>
      <c r="C35" s="46">
        <f>=SUMIFS(Saisie!$G:$G,Saisie!$B:$B,$C$2,Saisie!$C:$C,$A35,Saisie!$D:$D,"subvention")</f>
      </c>
      <c r="D35" s="46">
        <f>=SUMIFS(Saisie!$G:$G,Saisie!$B:$B,$C$2,Saisie!$C:$C,$A35,Saisie!$D:$D,"prestation")</f>
      </c>
      <c r="E35" s="46">
        <f>=SUMIFS(Saisie!$G:$G,Saisie!$B:$B,$C$2,Saisie!$C:$C,$A35,Saisie!$D:$D,"autre")</f>
      </c>
      <c r="F35" s="46">
        <f>=SUMIFS(Saisie!$G:$G,Saisie!$B:$B,$C$2,Saisie!$C:$C,$A35,Saisie!$D:$D,"charge_deductible")</f>
      </c>
      <c r="G35" s="46">
        <f>=SUMIFS(Saisie!$G:$G,Saisie!$B:$B,$C$2,Saisie!$C:$C,$A35,Saisie!$D:$D,"charge_non_deductible")</f>
      </c>
      <c r="H35" s="38">
        <f>=D35+E35</f>
      </c>
      <c r="I35" s="38">
        <f>=H35-F35</f>
      </c>
      <c r="J35" s="50">
        <f>=IF(H35&gt;500000,5,IF(H35&gt;250000,4,IF(H35&gt;100000,3,IF(H35&gt;50000,2,IF(H35&gt;10000,1,0)))))</f>
      </c>
      <c r="K35" s="51">
        <f>=CHOOSE(J35+1,0,0.1,0.19,0.28,0.36,0.46)</f>
      </c>
      <c r="L35" s="52">
        <f>=MAX(0,I35*K35)</f>
      </c>
      <c r="M35" s="46">
        <f>=H35+C35</f>
      </c>
      <c r="N35" s="38">
        <f>=SUM(OFFSET($M$5,MAX(0,ROW()-8),0,MIN(4,ROW()-4),1))</f>
      </c>
      <c r="O35" s="53">
        <f>=IF(N35&gt;50000,"⚠ DÉPASSEMENT",IF(N35&gt;40000,"⚠ VIGILANCE","✓ OK"))</f>
      </c>
    </row>
    <row r="36" spans="1:15" x14ac:dyDescent="0.25">
      <c r="A36" s="50">
        <v>32</v>
      </c>
      <c r="B36" s="46">
        <f>=SUMIFS(Saisie!$G:$G,Saisie!$B:$B,$C$2,Saisie!$C:$C,$A36,Saisie!$D:$D,"don")</f>
      </c>
      <c r="C36" s="46">
        <f>=SUMIFS(Saisie!$G:$G,Saisie!$B:$B,$C$2,Saisie!$C:$C,$A36,Saisie!$D:$D,"subvention")</f>
      </c>
      <c r="D36" s="46">
        <f>=SUMIFS(Saisie!$G:$G,Saisie!$B:$B,$C$2,Saisie!$C:$C,$A36,Saisie!$D:$D,"prestation")</f>
      </c>
      <c r="E36" s="46">
        <f>=SUMIFS(Saisie!$G:$G,Saisie!$B:$B,$C$2,Saisie!$C:$C,$A36,Saisie!$D:$D,"autre")</f>
      </c>
      <c r="F36" s="46">
        <f>=SUMIFS(Saisie!$G:$G,Saisie!$B:$B,$C$2,Saisie!$C:$C,$A36,Saisie!$D:$D,"charge_deductible")</f>
      </c>
      <c r="G36" s="46">
        <f>=SUMIFS(Saisie!$G:$G,Saisie!$B:$B,$C$2,Saisie!$C:$C,$A36,Saisie!$D:$D,"charge_non_deductible")</f>
      </c>
      <c r="H36" s="38">
        <f>=D36+E36</f>
      </c>
      <c r="I36" s="38">
        <f>=H36-F36</f>
      </c>
      <c r="J36" s="50">
        <f>=IF(H36&gt;500000,5,IF(H36&gt;250000,4,IF(H36&gt;100000,3,IF(H36&gt;50000,2,IF(H36&gt;10000,1,0)))))</f>
      </c>
      <c r="K36" s="51">
        <f>=CHOOSE(J36+1,0,0.1,0.19,0.28,0.36,0.46)</f>
      </c>
      <c r="L36" s="52">
        <f>=MAX(0,I36*K36)</f>
      </c>
      <c r="M36" s="46">
        <f>=H36+C36</f>
      </c>
      <c r="N36" s="38">
        <f>=SUM(OFFSET($M$5,MAX(0,ROW()-8),0,MIN(4,ROW()-4),1))</f>
      </c>
      <c r="O36" s="53">
        <f>=IF(N36&gt;50000,"⚠ DÉPASSEMENT",IF(N36&gt;40000,"⚠ VIGILANCE","✓ OK"))</f>
      </c>
    </row>
    <row r="37" spans="1:15" x14ac:dyDescent="0.25">
      <c r="A37" s="50">
        <v>33</v>
      </c>
      <c r="B37" s="46">
        <f>=SUMIFS(Saisie!$G:$G,Saisie!$B:$B,$C$2,Saisie!$C:$C,$A37,Saisie!$D:$D,"don")</f>
      </c>
      <c r="C37" s="46">
        <f>=SUMIFS(Saisie!$G:$G,Saisie!$B:$B,$C$2,Saisie!$C:$C,$A37,Saisie!$D:$D,"subvention")</f>
      </c>
      <c r="D37" s="46">
        <f>=SUMIFS(Saisie!$G:$G,Saisie!$B:$B,$C$2,Saisie!$C:$C,$A37,Saisie!$D:$D,"prestation")</f>
      </c>
      <c r="E37" s="46">
        <f>=SUMIFS(Saisie!$G:$G,Saisie!$B:$B,$C$2,Saisie!$C:$C,$A37,Saisie!$D:$D,"autre")</f>
      </c>
      <c r="F37" s="46">
        <f>=SUMIFS(Saisie!$G:$G,Saisie!$B:$B,$C$2,Saisie!$C:$C,$A37,Saisie!$D:$D,"charge_deductible")</f>
      </c>
      <c r="G37" s="46">
        <f>=SUMIFS(Saisie!$G:$G,Saisie!$B:$B,$C$2,Saisie!$C:$C,$A37,Saisie!$D:$D,"charge_non_deductible")</f>
      </c>
      <c r="H37" s="38">
        <f>=D37+E37</f>
      </c>
      <c r="I37" s="38">
        <f>=H37-F37</f>
      </c>
      <c r="J37" s="50">
        <f>=IF(H37&gt;500000,5,IF(H37&gt;250000,4,IF(H37&gt;100000,3,IF(H37&gt;50000,2,IF(H37&gt;10000,1,0)))))</f>
      </c>
      <c r="K37" s="51">
        <f>=CHOOSE(J37+1,0,0.1,0.19,0.28,0.36,0.46)</f>
      </c>
      <c r="L37" s="52">
        <f>=MAX(0,I37*K37)</f>
      </c>
      <c r="M37" s="46">
        <f>=H37+C37</f>
      </c>
      <c r="N37" s="38">
        <f>=SUM(OFFSET($M$5,MAX(0,ROW()-8),0,MIN(4,ROW()-4),1))</f>
      </c>
      <c r="O37" s="53">
        <f>=IF(N37&gt;50000,"⚠ DÉPASSEMENT",IF(N37&gt;40000,"⚠ VIGILANCE","✓ OK"))</f>
      </c>
    </row>
    <row r="38" spans="1:15" x14ac:dyDescent="0.25">
      <c r="A38" s="50">
        <v>34</v>
      </c>
      <c r="B38" s="46">
        <f>=SUMIFS(Saisie!$G:$G,Saisie!$B:$B,$C$2,Saisie!$C:$C,$A38,Saisie!$D:$D,"don")</f>
      </c>
      <c r="C38" s="46">
        <f>=SUMIFS(Saisie!$G:$G,Saisie!$B:$B,$C$2,Saisie!$C:$C,$A38,Saisie!$D:$D,"subvention")</f>
      </c>
      <c r="D38" s="46">
        <f>=SUMIFS(Saisie!$G:$G,Saisie!$B:$B,$C$2,Saisie!$C:$C,$A38,Saisie!$D:$D,"prestation")</f>
      </c>
      <c r="E38" s="46">
        <f>=SUMIFS(Saisie!$G:$G,Saisie!$B:$B,$C$2,Saisie!$C:$C,$A38,Saisie!$D:$D,"autre")</f>
      </c>
      <c r="F38" s="46">
        <f>=SUMIFS(Saisie!$G:$G,Saisie!$B:$B,$C$2,Saisie!$C:$C,$A38,Saisie!$D:$D,"charge_deductible")</f>
      </c>
      <c r="G38" s="46">
        <f>=SUMIFS(Saisie!$G:$G,Saisie!$B:$B,$C$2,Saisie!$C:$C,$A38,Saisie!$D:$D,"charge_non_deductible")</f>
      </c>
      <c r="H38" s="38">
        <f>=D38+E38</f>
      </c>
      <c r="I38" s="38">
        <f>=H38-F38</f>
      </c>
      <c r="J38" s="50">
        <f>=IF(H38&gt;500000,5,IF(H38&gt;250000,4,IF(H38&gt;100000,3,IF(H38&gt;50000,2,IF(H38&gt;10000,1,0)))))</f>
      </c>
      <c r="K38" s="51">
        <f>=CHOOSE(J38+1,0,0.1,0.19,0.28,0.36,0.46)</f>
      </c>
      <c r="L38" s="52">
        <f>=MAX(0,I38*K38)</f>
      </c>
      <c r="M38" s="46">
        <f>=H38+C38</f>
      </c>
      <c r="N38" s="38">
        <f>=SUM(OFFSET($M$5,MAX(0,ROW()-8),0,MIN(4,ROW()-4),1))</f>
      </c>
      <c r="O38" s="53">
        <f>=IF(N38&gt;50000,"⚠ DÉPASSEMENT",IF(N38&gt;40000,"⚠ VIGILANCE","✓ OK"))</f>
      </c>
    </row>
    <row r="39" spans="1:15" x14ac:dyDescent="0.25">
      <c r="A39" s="50">
        <v>35</v>
      </c>
      <c r="B39" s="46">
        <f>=SUMIFS(Saisie!$G:$G,Saisie!$B:$B,$C$2,Saisie!$C:$C,$A39,Saisie!$D:$D,"don")</f>
      </c>
      <c r="C39" s="46">
        <f>=SUMIFS(Saisie!$G:$G,Saisie!$B:$B,$C$2,Saisie!$C:$C,$A39,Saisie!$D:$D,"subvention")</f>
      </c>
      <c r="D39" s="46">
        <f>=SUMIFS(Saisie!$G:$G,Saisie!$B:$B,$C$2,Saisie!$C:$C,$A39,Saisie!$D:$D,"prestation")</f>
      </c>
      <c r="E39" s="46">
        <f>=SUMIFS(Saisie!$G:$G,Saisie!$B:$B,$C$2,Saisie!$C:$C,$A39,Saisie!$D:$D,"autre")</f>
      </c>
      <c r="F39" s="46">
        <f>=SUMIFS(Saisie!$G:$G,Saisie!$B:$B,$C$2,Saisie!$C:$C,$A39,Saisie!$D:$D,"charge_deductible")</f>
      </c>
      <c r="G39" s="46">
        <f>=SUMIFS(Saisie!$G:$G,Saisie!$B:$B,$C$2,Saisie!$C:$C,$A39,Saisie!$D:$D,"charge_non_deductible")</f>
      </c>
      <c r="H39" s="38">
        <f>=D39+E39</f>
      </c>
      <c r="I39" s="38">
        <f>=H39-F39</f>
      </c>
      <c r="J39" s="50">
        <f>=IF(H39&gt;500000,5,IF(H39&gt;250000,4,IF(H39&gt;100000,3,IF(H39&gt;50000,2,IF(H39&gt;10000,1,0)))))</f>
      </c>
      <c r="K39" s="51">
        <f>=CHOOSE(J39+1,0,0.1,0.19,0.28,0.36,0.46)</f>
      </c>
      <c r="L39" s="52">
        <f>=MAX(0,I39*K39)</f>
      </c>
      <c r="M39" s="46">
        <f>=H39+C39</f>
      </c>
      <c r="N39" s="38">
        <f>=SUM(OFFSET($M$5,MAX(0,ROW()-8),0,MIN(4,ROW()-4),1))</f>
      </c>
      <c r="O39" s="53">
        <f>=IF(N39&gt;50000,"⚠ DÉPASSEMENT",IF(N39&gt;40000,"⚠ VIGILANCE","✓ OK"))</f>
      </c>
    </row>
    <row r="40" spans="1:15" x14ac:dyDescent="0.25">
      <c r="A40" s="50">
        <v>36</v>
      </c>
      <c r="B40" s="46">
        <f>=SUMIFS(Saisie!$G:$G,Saisie!$B:$B,$C$2,Saisie!$C:$C,$A40,Saisie!$D:$D,"don")</f>
      </c>
      <c r="C40" s="46">
        <f>=SUMIFS(Saisie!$G:$G,Saisie!$B:$B,$C$2,Saisie!$C:$C,$A40,Saisie!$D:$D,"subvention")</f>
      </c>
      <c r="D40" s="46">
        <f>=SUMIFS(Saisie!$G:$G,Saisie!$B:$B,$C$2,Saisie!$C:$C,$A40,Saisie!$D:$D,"prestation")</f>
      </c>
      <c r="E40" s="46">
        <f>=SUMIFS(Saisie!$G:$G,Saisie!$B:$B,$C$2,Saisie!$C:$C,$A40,Saisie!$D:$D,"autre")</f>
      </c>
      <c r="F40" s="46">
        <f>=SUMIFS(Saisie!$G:$G,Saisie!$B:$B,$C$2,Saisie!$C:$C,$A40,Saisie!$D:$D,"charge_deductible")</f>
      </c>
      <c r="G40" s="46">
        <f>=SUMIFS(Saisie!$G:$G,Saisie!$B:$B,$C$2,Saisie!$C:$C,$A40,Saisie!$D:$D,"charge_non_deductible")</f>
      </c>
      <c r="H40" s="38">
        <f>=D40+E40</f>
      </c>
      <c r="I40" s="38">
        <f>=H40-F40</f>
      </c>
      <c r="J40" s="50">
        <f>=IF(H40&gt;500000,5,IF(H40&gt;250000,4,IF(H40&gt;100000,3,IF(H40&gt;50000,2,IF(H40&gt;10000,1,0)))))</f>
      </c>
      <c r="K40" s="51">
        <f>=CHOOSE(J40+1,0,0.1,0.19,0.28,0.36,0.46)</f>
      </c>
      <c r="L40" s="52">
        <f>=MAX(0,I40*K40)</f>
      </c>
      <c r="M40" s="46">
        <f>=H40+C40</f>
      </c>
      <c r="N40" s="38">
        <f>=SUM(OFFSET($M$5,MAX(0,ROW()-8),0,MIN(4,ROW()-4),1))</f>
      </c>
      <c r="O40" s="53">
        <f>=IF(N40&gt;50000,"⚠ DÉPASSEMENT",IF(N40&gt;40000,"⚠ VIGILANCE","✓ OK"))</f>
      </c>
    </row>
    <row r="41" spans="1:15" x14ac:dyDescent="0.25">
      <c r="A41" s="50">
        <v>37</v>
      </c>
      <c r="B41" s="46">
        <f>=SUMIFS(Saisie!$G:$G,Saisie!$B:$B,$C$2,Saisie!$C:$C,$A41,Saisie!$D:$D,"don")</f>
      </c>
      <c r="C41" s="46">
        <f>=SUMIFS(Saisie!$G:$G,Saisie!$B:$B,$C$2,Saisie!$C:$C,$A41,Saisie!$D:$D,"subvention")</f>
      </c>
      <c r="D41" s="46">
        <f>=SUMIFS(Saisie!$G:$G,Saisie!$B:$B,$C$2,Saisie!$C:$C,$A41,Saisie!$D:$D,"prestation")</f>
      </c>
      <c r="E41" s="46">
        <f>=SUMIFS(Saisie!$G:$G,Saisie!$B:$B,$C$2,Saisie!$C:$C,$A41,Saisie!$D:$D,"autre")</f>
      </c>
      <c r="F41" s="46">
        <f>=SUMIFS(Saisie!$G:$G,Saisie!$B:$B,$C$2,Saisie!$C:$C,$A41,Saisie!$D:$D,"charge_deductible")</f>
      </c>
      <c r="G41" s="46">
        <f>=SUMIFS(Saisie!$G:$G,Saisie!$B:$B,$C$2,Saisie!$C:$C,$A41,Saisie!$D:$D,"charge_non_deductible")</f>
      </c>
      <c r="H41" s="38">
        <f>=D41+E41</f>
      </c>
      <c r="I41" s="38">
        <f>=H41-F41</f>
      </c>
      <c r="J41" s="50">
        <f>=IF(H41&gt;500000,5,IF(H41&gt;250000,4,IF(H41&gt;100000,3,IF(H41&gt;50000,2,IF(H41&gt;10000,1,0)))))</f>
      </c>
      <c r="K41" s="51">
        <f>=CHOOSE(J41+1,0,0.1,0.19,0.28,0.36,0.46)</f>
      </c>
      <c r="L41" s="52">
        <f>=MAX(0,I41*K41)</f>
      </c>
      <c r="M41" s="46">
        <f>=H41+C41</f>
      </c>
      <c r="N41" s="38">
        <f>=SUM(OFFSET($M$5,MAX(0,ROW()-8),0,MIN(4,ROW()-4),1))</f>
      </c>
      <c r="O41" s="53">
        <f>=IF(N41&gt;50000,"⚠ DÉPASSEMENT",IF(N41&gt;40000,"⚠ VIGILANCE","✓ OK"))</f>
      </c>
    </row>
    <row r="42" spans="1:15" x14ac:dyDescent="0.25">
      <c r="A42" s="50">
        <v>38</v>
      </c>
      <c r="B42" s="46">
        <f>=SUMIFS(Saisie!$G:$G,Saisie!$B:$B,$C$2,Saisie!$C:$C,$A42,Saisie!$D:$D,"don")</f>
      </c>
      <c r="C42" s="46">
        <f>=SUMIFS(Saisie!$G:$G,Saisie!$B:$B,$C$2,Saisie!$C:$C,$A42,Saisie!$D:$D,"subvention")</f>
      </c>
      <c r="D42" s="46">
        <f>=SUMIFS(Saisie!$G:$G,Saisie!$B:$B,$C$2,Saisie!$C:$C,$A42,Saisie!$D:$D,"prestation")</f>
      </c>
      <c r="E42" s="46">
        <f>=SUMIFS(Saisie!$G:$G,Saisie!$B:$B,$C$2,Saisie!$C:$C,$A42,Saisie!$D:$D,"autre")</f>
      </c>
      <c r="F42" s="46">
        <f>=SUMIFS(Saisie!$G:$G,Saisie!$B:$B,$C$2,Saisie!$C:$C,$A42,Saisie!$D:$D,"charge_deductible")</f>
      </c>
      <c r="G42" s="46">
        <f>=SUMIFS(Saisie!$G:$G,Saisie!$B:$B,$C$2,Saisie!$C:$C,$A42,Saisie!$D:$D,"charge_non_deductible")</f>
      </c>
      <c r="H42" s="38">
        <f>=D42+E42</f>
      </c>
      <c r="I42" s="38">
        <f>=H42-F42</f>
      </c>
      <c r="J42" s="50">
        <f>=IF(H42&gt;500000,5,IF(H42&gt;250000,4,IF(H42&gt;100000,3,IF(H42&gt;50000,2,IF(H42&gt;10000,1,0)))))</f>
      </c>
      <c r="K42" s="51">
        <f>=CHOOSE(J42+1,0,0.1,0.19,0.28,0.36,0.46)</f>
      </c>
      <c r="L42" s="52">
        <f>=MAX(0,I42*K42)</f>
      </c>
      <c r="M42" s="46">
        <f>=H42+C42</f>
      </c>
      <c r="N42" s="38">
        <f>=SUM(OFFSET($M$5,MAX(0,ROW()-8),0,MIN(4,ROW()-4),1))</f>
      </c>
      <c r="O42" s="53">
        <f>=IF(N42&gt;50000,"⚠ DÉPASSEMENT",IF(N42&gt;40000,"⚠ VIGILANCE","✓ OK"))</f>
      </c>
    </row>
    <row r="43" spans="1:15" x14ac:dyDescent="0.25">
      <c r="A43" s="50">
        <v>39</v>
      </c>
      <c r="B43" s="46">
        <f>=SUMIFS(Saisie!$G:$G,Saisie!$B:$B,$C$2,Saisie!$C:$C,$A43,Saisie!$D:$D,"don")</f>
      </c>
      <c r="C43" s="46">
        <f>=SUMIFS(Saisie!$G:$G,Saisie!$B:$B,$C$2,Saisie!$C:$C,$A43,Saisie!$D:$D,"subvention")</f>
      </c>
      <c r="D43" s="46">
        <f>=SUMIFS(Saisie!$G:$G,Saisie!$B:$B,$C$2,Saisie!$C:$C,$A43,Saisie!$D:$D,"prestation")</f>
      </c>
      <c r="E43" s="46">
        <f>=SUMIFS(Saisie!$G:$G,Saisie!$B:$B,$C$2,Saisie!$C:$C,$A43,Saisie!$D:$D,"autre")</f>
      </c>
      <c r="F43" s="46">
        <f>=SUMIFS(Saisie!$G:$G,Saisie!$B:$B,$C$2,Saisie!$C:$C,$A43,Saisie!$D:$D,"charge_deductible")</f>
      </c>
      <c r="G43" s="46">
        <f>=SUMIFS(Saisie!$G:$G,Saisie!$B:$B,$C$2,Saisie!$C:$C,$A43,Saisie!$D:$D,"charge_non_deductible")</f>
      </c>
      <c r="H43" s="38">
        <f>=D43+E43</f>
      </c>
      <c r="I43" s="38">
        <f>=H43-F43</f>
      </c>
      <c r="J43" s="50">
        <f>=IF(H43&gt;500000,5,IF(H43&gt;250000,4,IF(H43&gt;100000,3,IF(H43&gt;50000,2,IF(H43&gt;10000,1,0)))))</f>
      </c>
      <c r="K43" s="51">
        <f>=CHOOSE(J43+1,0,0.1,0.19,0.28,0.36,0.46)</f>
      </c>
      <c r="L43" s="52">
        <f>=MAX(0,I43*K43)</f>
      </c>
      <c r="M43" s="46">
        <f>=H43+C43</f>
      </c>
      <c r="N43" s="38">
        <f>=SUM(OFFSET($M$5,MAX(0,ROW()-8),0,MIN(4,ROW()-4),1))</f>
      </c>
      <c r="O43" s="53">
        <f>=IF(N43&gt;50000,"⚠ DÉPASSEMENT",IF(N43&gt;40000,"⚠ VIGILANCE","✓ OK"))</f>
      </c>
    </row>
    <row r="44" spans="1:15" x14ac:dyDescent="0.25">
      <c r="A44" s="50">
        <v>40</v>
      </c>
      <c r="B44" s="46">
        <f>=SUMIFS(Saisie!$G:$G,Saisie!$B:$B,$C$2,Saisie!$C:$C,$A44,Saisie!$D:$D,"don")</f>
      </c>
      <c r="C44" s="46">
        <f>=SUMIFS(Saisie!$G:$G,Saisie!$B:$B,$C$2,Saisie!$C:$C,$A44,Saisie!$D:$D,"subvention")</f>
      </c>
      <c r="D44" s="46">
        <f>=SUMIFS(Saisie!$G:$G,Saisie!$B:$B,$C$2,Saisie!$C:$C,$A44,Saisie!$D:$D,"prestation")</f>
      </c>
      <c r="E44" s="46">
        <f>=SUMIFS(Saisie!$G:$G,Saisie!$B:$B,$C$2,Saisie!$C:$C,$A44,Saisie!$D:$D,"autre")</f>
      </c>
      <c r="F44" s="46">
        <f>=SUMIFS(Saisie!$G:$G,Saisie!$B:$B,$C$2,Saisie!$C:$C,$A44,Saisie!$D:$D,"charge_deductible")</f>
      </c>
      <c r="G44" s="46">
        <f>=SUMIFS(Saisie!$G:$G,Saisie!$B:$B,$C$2,Saisie!$C:$C,$A44,Saisie!$D:$D,"charge_non_deductible")</f>
      </c>
      <c r="H44" s="38">
        <f>=D44+E44</f>
      </c>
      <c r="I44" s="38">
        <f>=H44-F44</f>
      </c>
      <c r="J44" s="50">
        <f>=IF(H44&gt;500000,5,IF(H44&gt;250000,4,IF(H44&gt;100000,3,IF(H44&gt;50000,2,IF(H44&gt;10000,1,0)))))</f>
      </c>
      <c r="K44" s="51">
        <f>=CHOOSE(J44+1,0,0.1,0.19,0.28,0.36,0.46)</f>
      </c>
      <c r="L44" s="52">
        <f>=MAX(0,I44*K44)</f>
      </c>
      <c r="M44" s="46">
        <f>=H44+C44</f>
      </c>
      <c r="N44" s="38">
        <f>=SUM(OFFSET($M$5,MAX(0,ROW()-8),0,MIN(4,ROW()-4),1))</f>
      </c>
      <c r="O44" s="53">
        <f>=IF(N44&gt;50000,"⚠ DÉPASSEMENT",IF(N44&gt;40000,"⚠ VIGILANCE","✓ OK"))</f>
      </c>
    </row>
    <row r="45" spans="1:15" x14ac:dyDescent="0.25">
      <c r="A45" s="50">
        <v>41</v>
      </c>
      <c r="B45" s="46">
        <f>=SUMIFS(Saisie!$G:$G,Saisie!$B:$B,$C$2,Saisie!$C:$C,$A45,Saisie!$D:$D,"don")</f>
      </c>
      <c r="C45" s="46">
        <f>=SUMIFS(Saisie!$G:$G,Saisie!$B:$B,$C$2,Saisie!$C:$C,$A45,Saisie!$D:$D,"subvention")</f>
      </c>
      <c r="D45" s="46">
        <f>=SUMIFS(Saisie!$G:$G,Saisie!$B:$B,$C$2,Saisie!$C:$C,$A45,Saisie!$D:$D,"prestation")</f>
      </c>
      <c r="E45" s="46">
        <f>=SUMIFS(Saisie!$G:$G,Saisie!$B:$B,$C$2,Saisie!$C:$C,$A45,Saisie!$D:$D,"autre")</f>
      </c>
      <c r="F45" s="46">
        <f>=SUMIFS(Saisie!$G:$G,Saisie!$B:$B,$C$2,Saisie!$C:$C,$A45,Saisie!$D:$D,"charge_deductible")</f>
      </c>
      <c r="G45" s="46">
        <f>=SUMIFS(Saisie!$G:$G,Saisie!$B:$B,$C$2,Saisie!$C:$C,$A45,Saisie!$D:$D,"charge_non_deductible")</f>
      </c>
      <c r="H45" s="38">
        <f>=D45+E45</f>
      </c>
      <c r="I45" s="38">
        <f>=H45-F45</f>
      </c>
      <c r="J45" s="50">
        <f>=IF(H45&gt;500000,5,IF(H45&gt;250000,4,IF(H45&gt;100000,3,IF(H45&gt;50000,2,IF(H45&gt;10000,1,0)))))</f>
      </c>
      <c r="K45" s="51">
        <f>=CHOOSE(J45+1,0,0.1,0.19,0.28,0.36,0.46)</f>
      </c>
      <c r="L45" s="52">
        <f>=MAX(0,I45*K45)</f>
      </c>
      <c r="M45" s="46">
        <f>=H45+C45</f>
      </c>
      <c r="N45" s="38">
        <f>=SUM(OFFSET($M$5,MAX(0,ROW()-8),0,MIN(4,ROW()-4),1))</f>
      </c>
      <c r="O45" s="53">
        <f>=IF(N45&gt;50000,"⚠ DÉPASSEMENT",IF(N45&gt;40000,"⚠ VIGILANCE","✓ OK"))</f>
      </c>
    </row>
    <row r="46" spans="1:15" x14ac:dyDescent="0.25">
      <c r="A46" s="50">
        <v>42</v>
      </c>
      <c r="B46" s="46">
        <f>=SUMIFS(Saisie!$G:$G,Saisie!$B:$B,$C$2,Saisie!$C:$C,$A46,Saisie!$D:$D,"don")</f>
      </c>
      <c r="C46" s="46">
        <f>=SUMIFS(Saisie!$G:$G,Saisie!$B:$B,$C$2,Saisie!$C:$C,$A46,Saisie!$D:$D,"subvention")</f>
      </c>
      <c r="D46" s="46">
        <f>=SUMIFS(Saisie!$G:$G,Saisie!$B:$B,$C$2,Saisie!$C:$C,$A46,Saisie!$D:$D,"prestation")</f>
      </c>
      <c r="E46" s="46">
        <f>=SUMIFS(Saisie!$G:$G,Saisie!$B:$B,$C$2,Saisie!$C:$C,$A46,Saisie!$D:$D,"autre")</f>
      </c>
      <c r="F46" s="46">
        <f>=SUMIFS(Saisie!$G:$G,Saisie!$B:$B,$C$2,Saisie!$C:$C,$A46,Saisie!$D:$D,"charge_deductible")</f>
      </c>
      <c r="G46" s="46">
        <f>=SUMIFS(Saisie!$G:$G,Saisie!$B:$B,$C$2,Saisie!$C:$C,$A46,Saisie!$D:$D,"charge_non_deductible")</f>
      </c>
      <c r="H46" s="38">
        <f>=D46+E46</f>
      </c>
      <c r="I46" s="38">
        <f>=H46-F46</f>
      </c>
      <c r="J46" s="50">
        <f>=IF(H46&gt;500000,5,IF(H46&gt;250000,4,IF(H46&gt;100000,3,IF(H46&gt;50000,2,IF(H46&gt;10000,1,0)))))</f>
      </c>
      <c r="K46" s="51">
        <f>=CHOOSE(J46+1,0,0.1,0.19,0.28,0.36,0.46)</f>
      </c>
      <c r="L46" s="52">
        <f>=MAX(0,I46*K46)</f>
      </c>
      <c r="M46" s="46">
        <f>=H46+C46</f>
      </c>
      <c r="N46" s="38">
        <f>=SUM(OFFSET($M$5,MAX(0,ROW()-8),0,MIN(4,ROW()-4),1))</f>
      </c>
      <c r="O46" s="53">
        <f>=IF(N46&gt;50000,"⚠ DÉPASSEMENT",IF(N46&gt;40000,"⚠ VIGILANCE","✓ OK"))</f>
      </c>
    </row>
    <row r="47" spans="1:15" x14ac:dyDescent="0.25">
      <c r="A47" s="50">
        <v>43</v>
      </c>
      <c r="B47" s="46">
        <f>=SUMIFS(Saisie!$G:$G,Saisie!$B:$B,$C$2,Saisie!$C:$C,$A47,Saisie!$D:$D,"don")</f>
      </c>
      <c r="C47" s="46">
        <f>=SUMIFS(Saisie!$G:$G,Saisie!$B:$B,$C$2,Saisie!$C:$C,$A47,Saisie!$D:$D,"subvention")</f>
      </c>
      <c r="D47" s="46">
        <f>=SUMIFS(Saisie!$G:$G,Saisie!$B:$B,$C$2,Saisie!$C:$C,$A47,Saisie!$D:$D,"prestation")</f>
      </c>
      <c r="E47" s="46">
        <f>=SUMIFS(Saisie!$G:$G,Saisie!$B:$B,$C$2,Saisie!$C:$C,$A47,Saisie!$D:$D,"autre")</f>
      </c>
      <c r="F47" s="46">
        <f>=SUMIFS(Saisie!$G:$G,Saisie!$B:$B,$C$2,Saisie!$C:$C,$A47,Saisie!$D:$D,"charge_deductible")</f>
      </c>
      <c r="G47" s="46">
        <f>=SUMIFS(Saisie!$G:$G,Saisie!$B:$B,$C$2,Saisie!$C:$C,$A47,Saisie!$D:$D,"charge_non_deductible")</f>
      </c>
      <c r="H47" s="38">
        <f>=D47+E47</f>
      </c>
      <c r="I47" s="38">
        <f>=H47-F47</f>
      </c>
      <c r="J47" s="50">
        <f>=IF(H47&gt;500000,5,IF(H47&gt;250000,4,IF(H47&gt;100000,3,IF(H47&gt;50000,2,IF(H47&gt;10000,1,0)))))</f>
      </c>
      <c r="K47" s="51">
        <f>=CHOOSE(J47+1,0,0.1,0.19,0.28,0.36,0.46)</f>
      </c>
      <c r="L47" s="52">
        <f>=MAX(0,I47*K47)</f>
      </c>
      <c r="M47" s="46">
        <f>=H47+C47</f>
      </c>
      <c r="N47" s="38">
        <f>=SUM(OFFSET($M$5,MAX(0,ROW()-8),0,MIN(4,ROW()-4),1))</f>
      </c>
      <c r="O47" s="53">
        <f>=IF(N47&gt;50000,"⚠ DÉPASSEMENT",IF(N47&gt;40000,"⚠ VIGILANCE","✓ OK"))</f>
      </c>
    </row>
    <row r="48" spans="1:15" x14ac:dyDescent="0.25">
      <c r="A48" s="50">
        <v>44</v>
      </c>
      <c r="B48" s="46">
        <f>=SUMIFS(Saisie!$G:$G,Saisie!$B:$B,$C$2,Saisie!$C:$C,$A48,Saisie!$D:$D,"don")</f>
      </c>
      <c r="C48" s="46">
        <f>=SUMIFS(Saisie!$G:$G,Saisie!$B:$B,$C$2,Saisie!$C:$C,$A48,Saisie!$D:$D,"subvention")</f>
      </c>
      <c r="D48" s="46">
        <f>=SUMIFS(Saisie!$G:$G,Saisie!$B:$B,$C$2,Saisie!$C:$C,$A48,Saisie!$D:$D,"prestation")</f>
      </c>
      <c r="E48" s="46">
        <f>=SUMIFS(Saisie!$G:$G,Saisie!$B:$B,$C$2,Saisie!$C:$C,$A48,Saisie!$D:$D,"autre")</f>
      </c>
      <c r="F48" s="46">
        <f>=SUMIFS(Saisie!$G:$G,Saisie!$B:$B,$C$2,Saisie!$C:$C,$A48,Saisie!$D:$D,"charge_deductible")</f>
      </c>
      <c r="G48" s="46">
        <f>=SUMIFS(Saisie!$G:$G,Saisie!$B:$B,$C$2,Saisie!$C:$C,$A48,Saisie!$D:$D,"charge_non_deductible")</f>
      </c>
      <c r="H48" s="38">
        <f>=D48+E48</f>
      </c>
      <c r="I48" s="38">
        <f>=H48-F48</f>
      </c>
      <c r="J48" s="50">
        <f>=IF(H48&gt;500000,5,IF(H48&gt;250000,4,IF(H48&gt;100000,3,IF(H48&gt;50000,2,IF(H48&gt;10000,1,0)))))</f>
      </c>
      <c r="K48" s="51">
        <f>=CHOOSE(J48+1,0,0.1,0.19,0.28,0.36,0.46)</f>
      </c>
      <c r="L48" s="52">
        <f>=MAX(0,I48*K48)</f>
      </c>
      <c r="M48" s="46">
        <f>=H48+C48</f>
      </c>
      <c r="N48" s="38">
        <f>=SUM(OFFSET($M$5,MAX(0,ROW()-8),0,MIN(4,ROW()-4),1))</f>
      </c>
      <c r="O48" s="53">
        <f>=IF(N48&gt;50000,"⚠ DÉPASSEMENT",IF(N48&gt;40000,"⚠ VIGILANCE","✓ OK"))</f>
      </c>
    </row>
    <row r="49" spans="1:15" x14ac:dyDescent="0.25">
      <c r="A49" s="50">
        <v>45</v>
      </c>
      <c r="B49" s="46">
        <f>=SUMIFS(Saisie!$G:$G,Saisie!$B:$B,$C$2,Saisie!$C:$C,$A49,Saisie!$D:$D,"don")</f>
      </c>
      <c r="C49" s="46">
        <f>=SUMIFS(Saisie!$G:$G,Saisie!$B:$B,$C$2,Saisie!$C:$C,$A49,Saisie!$D:$D,"subvention")</f>
      </c>
      <c r="D49" s="46">
        <f>=SUMIFS(Saisie!$G:$G,Saisie!$B:$B,$C$2,Saisie!$C:$C,$A49,Saisie!$D:$D,"prestation")</f>
      </c>
      <c r="E49" s="46">
        <f>=SUMIFS(Saisie!$G:$G,Saisie!$B:$B,$C$2,Saisie!$C:$C,$A49,Saisie!$D:$D,"autre")</f>
      </c>
      <c r="F49" s="46">
        <f>=SUMIFS(Saisie!$G:$G,Saisie!$B:$B,$C$2,Saisie!$C:$C,$A49,Saisie!$D:$D,"charge_deductible")</f>
      </c>
      <c r="G49" s="46">
        <f>=SUMIFS(Saisie!$G:$G,Saisie!$B:$B,$C$2,Saisie!$C:$C,$A49,Saisie!$D:$D,"charge_non_deductible")</f>
      </c>
      <c r="H49" s="38">
        <f>=D49+E49</f>
      </c>
      <c r="I49" s="38">
        <f>=H49-F49</f>
      </c>
      <c r="J49" s="50">
        <f>=IF(H49&gt;500000,5,IF(H49&gt;250000,4,IF(H49&gt;100000,3,IF(H49&gt;50000,2,IF(H49&gt;10000,1,0)))))</f>
      </c>
      <c r="K49" s="51">
        <f>=CHOOSE(J49+1,0,0.1,0.19,0.28,0.36,0.46)</f>
      </c>
      <c r="L49" s="52">
        <f>=MAX(0,I49*K49)</f>
      </c>
      <c r="M49" s="46">
        <f>=H49+C49</f>
      </c>
      <c r="N49" s="38">
        <f>=SUM(OFFSET($M$5,MAX(0,ROW()-8),0,MIN(4,ROW()-4),1))</f>
      </c>
      <c r="O49" s="53">
        <f>=IF(N49&gt;50000,"⚠ DÉPASSEMENT",IF(N49&gt;40000,"⚠ VIGILANCE","✓ OK"))</f>
      </c>
    </row>
    <row r="50" spans="1:15" x14ac:dyDescent="0.25">
      <c r="A50" s="50">
        <v>46</v>
      </c>
      <c r="B50" s="46">
        <f>=SUMIFS(Saisie!$G:$G,Saisie!$B:$B,$C$2,Saisie!$C:$C,$A50,Saisie!$D:$D,"don")</f>
      </c>
      <c r="C50" s="46">
        <f>=SUMIFS(Saisie!$G:$G,Saisie!$B:$B,$C$2,Saisie!$C:$C,$A50,Saisie!$D:$D,"subvention")</f>
      </c>
      <c r="D50" s="46">
        <f>=SUMIFS(Saisie!$G:$G,Saisie!$B:$B,$C$2,Saisie!$C:$C,$A50,Saisie!$D:$D,"prestation")</f>
      </c>
      <c r="E50" s="46">
        <f>=SUMIFS(Saisie!$G:$G,Saisie!$B:$B,$C$2,Saisie!$C:$C,$A50,Saisie!$D:$D,"autre")</f>
      </c>
      <c r="F50" s="46">
        <f>=SUMIFS(Saisie!$G:$G,Saisie!$B:$B,$C$2,Saisie!$C:$C,$A50,Saisie!$D:$D,"charge_deductible")</f>
      </c>
      <c r="G50" s="46">
        <f>=SUMIFS(Saisie!$G:$G,Saisie!$B:$B,$C$2,Saisie!$C:$C,$A50,Saisie!$D:$D,"charge_non_deductible")</f>
      </c>
      <c r="H50" s="38">
        <f>=D50+E50</f>
      </c>
      <c r="I50" s="38">
        <f>=H50-F50</f>
      </c>
      <c r="J50" s="50">
        <f>=IF(H50&gt;500000,5,IF(H50&gt;250000,4,IF(H50&gt;100000,3,IF(H50&gt;50000,2,IF(H50&gt;10000,1,0)))))</f>
      </c>
      <c r="K50" s="51">
        <f>=CHOOSE(J50+1,0,0.1,0.19,0.28,0.36,0.46)</f>
      </c>
      <c r="L50" s="52">
        <f>=MAX(0,I50*K50)</f>
      </c>
      <c r="M50" s="46">
        <f>=H50+C50</f>
      </c>
      <c r="N50" s="38">
        <f>=SUM(OFFSET($M$5,MAX(0,ROW()-8),0,MIN(4,ROW()-4),1))</f>
      </c>
      <c r="O50" s="53">
        <f>=IF(N50&gt;50000,"⚠ DÉPASSEMENT",IF(N50&gt;40000,"⚠ VIGILANCE","✓ OK"))</f>
      </c>
    </row>
    <row r="51" spans="1:15" x14ac:dyDescent="0.25">
      <c r="A51" s="50">
        <v>47</v>
      </c>
      <c r="B51" s="46">
        <f>=SUMIFS(Saisie!$G:$G,Saisie!$B:$B,$C$2,Saisie!$C:$C,$A51,Saisie!$D:$D,"don")</f>
      </c>
      <c r="C51" s="46">
        <f>=SUMIFS(Saisie!$G:$G,Saisie!$B:$B,$C$2,Saisie!$C:$C,$A51,Saisie!$D:$D,"subvention")</f>
      </c>
      <c r="D51" s="46">
        <f>=SUMIFS(Saisie!$G:$G,Saisie!$B:$B,$C$2,Saisie!$C:$C,$A51,Saisie!$D:$D,"prestation")</f>
      </c>
      <c r="E51" s="46">
        <f>=SUMIFS(Saisie!$G:$G,Saisie!$B:$B,$C$2,Saisie!$C:$C,$A51,Saisie!$D:$D,"autre")</f>
      </c>
      <c r="F51" s="46">
        <f>=SUMIFS(Saisie!$G:$G,Saisie!$B:$B,$C$2,Saisie!$C:$C,$A51,Saisie!$D:$D,"charge_deductible")</f>
      </c>
      <c r="G51" s="46">
        <f>=SUMIFS(Saisie!$G:$G,Saisie!$B:$B,$C$2,Saisie!$C:$C,$A51,Saisie!$D:$D,"charge_non_deductible")</f>
      </c>
      <c r="H51" s="38">
        <f>=D51+E51</f>
      </c>
      <c r="I51" s="38">
        <f>=H51-F51</f>
      </c>
      <c r="J51" s="50">
        <f>=IF(H51&gt;500000,5,IF(H51&gt;250000,4,IF(H51&gt;100000,3,IF(H51&gt;50000,2,IF(H51&gt;10000,1,0)))))</f>
      </c>
      <c r="K51" s="51">
        <f>=CHOOSE(J51+1,0,0.1,0.19,0.28,0.36,0.46)</f>
      </c>
      <c r="L51" s="52">
        <f>=MAX(0,I51*K51)</f>
      </c>
      <c r="M51" s="46">
        <f>=H51+C51</f>
      </c>
      <c r="N51" s="38">
        <f>=SUM(OFFSET($M$5,MAX(0,ROW()-8),0,MIN(4,ROW()-4),1))</f>
      </c>
      <c r="O51" s="53">
        <f>=IF(N51&gt;50000,"⚠ DÉPASSEMENT",IF(N51&gt;40000,"⚠ VIGILANCE","✓ OK"))</f>
      </c>
    </row>
    <row r="52" spans="1:15" x14ac:dyDescent="0.25">
      <c r="A52" s="50">
        <v>48</v>
      </c>
      <c r="B52" s="46">
        <f>=SUMIFS(Saisie!$G:$G,Saisie!$B:$B,$C$2,Saisie!$C:$C,$A52,Saisie!$D:$D,"don")</f>
      </c>
      <c r="C52" s="46">
        <f>=SUMIFS(Saisie!$G:$G,Saisie!$B:$B,$C$2,Saisie!$C:$C,$A52,Saisie!$D:$D,"subvention")</f>
      </c>
      <c r="D52" s="46">
        <f>=SUMIFS(Saisie!$G:$G,Saisie!$B:$B,$C$2,Saisie!$C:$C,$A52,Saisie!$D:$D,"prestation")</f>
      </c>
      <c r="E52" s="46">
        <f>=SUMIFS(Saisie!$G:$G,Saisie!$B:$B,$C$2,Saisie!$C:$C,$A52,Saisie!$D:$D,"autre")</f>
      </c>
      <c r="F52" s="46">
        <f>=SUMIFS(Saisie!$G:$G,Saisie!$B:$B,$C$2,Saisie!$C:$C,$A52,Saisie!$D:$D,"charge_deductible")</f>
      </c>
      <c r="G52" s="46">
        <f>=SUMIFS(Saisie!$G:$G,Saisie!$B:$B,$C$2,Saisie!$C:$C,$A52,Saisie!$D:$D,"charge_non_deductible")</f>
      </c>
      <c r="H52" s="38">
        <f>=D52+E52</f>
      </c>
      <c r="I52" s="38">
        <f>=H52-F52</f>
      </c>
      <c r="J52" s="50">
        <f>=IF(H52&gt;500000,5,IF(H52&gt;250000,4,IF(H52&gt;100000,3,IF(H52&gt;50000,2,IF(H52&gt;10000,1,0)))))</f>
      </c>
      <c r="K52" s="51">
        <f>=CHOOSE(J52+1,0,0.1,0.19,0.28,0.36,0.46)</f>
      </c>
      <c r="L52" s="52">
        <f>=MAX(0,I52*K52)</f>
      </c>
      <c r="M52" s="46">
        <f>=H52+C52</f>
      </c>
      <c r="N52" s="38">
        <f>=SUM(OFFSET($M$5,MAX(0,ROW()-8),0,MIN(4,ROW()-4),1))</f>
      </c>
      <c r="O52" s="53">
        <f>=IF(N52&gt;50000,"⚠ DÉPASSEMENT",IF(N52&gt;40000,"⚠ VIGILANCE","✓ OK"))</f>
      </c>
    </row>
    <row r="53" spans="1:15" x14ac:dyDescent="0.25">
      <c r="A53" s="50">
        <v>49</v>
      </c>
      <c r="B53" s="46">
        <f>=SUMIFS(Saisie!$G:$G,Saisie!$B:$B,$C$2,Saisie!$C:$C,$A53,Saisie!$D:$D,"don")</f>
      </c>
      <c r="C53" s="46">
        <f>=SUMIFS(Saisie!$G:$G,Saisie!$B:$B,$C$2,Saisie!$C:$C,$A53,Saisie!$D:$D,"subvention")</f>
      </c>
      <c r="D53" s="46">
        <f>=SUMIFS(Saisie!$G:$G,Saisie!$B:$B,$C$2,Saisie!$C:$C,$A53,Saisie!$D:$D,"prestation")</f>
      </c>
      <c r="E53" s="46">
        <f>=SUMIFS(Saisie!$G:$G,Saisie!$B:$B,$C$2,Saisie!$C:$C,$A53,Saisie!$D:$D,"autre")</f>
      </c>
      <c r="F53" s="46">
        <f>=SUMIFS(Saisie!$G:$G,Saisie!$B:$B,$C$2,Saisie!$C:$C,$A53,Saisie!$D:$D,"charge_deductible")</f>
      </c>
      <c r="G53" s="46">
        <f>=SUMIFS(Saisie!$G:$G,Saisie!$B:$B,$C$2,Saisie!$C:$C,$A53,Saisie!$D:$D,"charge_non_deductible")</f>
      </c>
      <c r="H53" s="38">
        <f>=D53+E53</f>
      </c>
      <c r="I53" s="38">
        <f>=H53-F53</f>
      </c>
      <c r="J53" s="50">
        <f>=IF(H53&gt;500000,5,IF(H53&gt;250000,4,IF(H53&gt;100000,3,IF(H53&gt;50000,2,IF(H53&gt;10000,1,0)))))</f>
      </c>
      <c r="K53" s="51">
        <f>=CHOOSE(J53+1,0,0.1,0.19,0.28,0.36,0.46)</f>
      </c>
      <c r="L53" s="52">
        <f>=MAX(0,I53*K53)</f>
      </c>
      <c r="M53" s="46">
        <f>=H53+C53</f>
      </c>
      <c r="N53" s="38">
        <f>=SUM(OFFSET($M$5,MAX(0,ROW()-8),0,MIN(4,ROW()-4),1))</f>
      </c>
      <c r="O53" s="53">
        <f>=IF(N53&gt;50000,"⚠ DÉPASSEMENT",IF(N53&gt;40000,"⚠ VIGILANCE","✓ OK"))</f>
      </c>
    </row>
    <row r="54" spans="1:15" x14ac:dyDescent="0.25">
      <c r="A54" s="50">
        <v>50</v>
      </c>
      <c r="B54" s="46">
        <f>=SUMIFS(Saisie!$G:$G,Saisie!$B:$B,$C$2,Saisie!$C:$C,$A54,Saisie!$D:$D,"don")</f>
      </c>
      <c r="C54" s="46">
        <f>=SUMIFS(Saisie!$G:$G,Saisie!$B:$B,$C$2,Saisie!$C:$C,$A54,Saisie!$D:$D,"subvention")</f>
      </c>
      <c r="D54" s="46">
        <f>=SUMIFS(Saisie!$G:$G,Saisie!$B:$B,$C$2,Saisie!$C:$C,$A54,Saisie!$D:$D,"prestation")</f>
      </c>
      <c r="E54" s="46">
        <f>=SUMIFS(Saisie!$G:$G,Saisie!$B:$B,$C$2,Saisie!$C:$C,$A54,Saisie!$D:$D,"autre")</f>
      </c>
      <c r="F54" s="46">
        <f>=SUMIFS(Saisie!$G:$G,Saisie!$B:$B,$C$2,Saisie!$C:$C,$A54,Saisie!$D:$D,"charge_deductible")</f>
      </c>
      <c r="G54" s="46">
        <f>=SUMIFS(Saisie!$G:$G,Saisie!$B:$B,$C$2,Saisie!$C:$C,$A54,Saisie!$D:$D,"charge_non_deductible")</f>
      </c>
      <c r="H54" s="38">
        <f>=D54+E54</f>
      </c>
      <c r="I54" s="38">
        <f>=H54-F54</f>
      </c>
      <c r="J54" s="50">
        <f>=IF(H54&gt;500000,5,IF(H54&gt;250000,4,IF(H54&gt;100000,3,IF(H54&gt;50000,2,IF(H54&gt;10000,1,0)))))</f>
      </c>
      <c r="K54" s="51">
        <f>=CHOOSE(J54+1,0,0.1,0.19,0.28,0.36,0.46)</f>
      </c>
      <c r="L54" s="52">
        <f>=MAX(0,I54*K54)</f>
      </c>
      <c r="M54" s="46">
        <f>=H54+C54</f>
      </c>
      <c r="N54" s="38">
        <f>=SUM(OFFSET($M$5,MAX(0,ROW()-8),0,MIN(4,ROW()-4),1))</f>
      </c>
      <c r="O54" s="53">
        <f>=IF(N54&gt;50000,"⚠ DÉPASSEMENT",IF(N54&gt;40000,"⚠ VIGILANCE","✓ OK"))</f>
      </c>
    </row>
    <row r="55" spans="1:15" x14ac:dyDescent="0.25">
      <c r="A55" s="50">
        <v>51</v>
      </c>
      <c r="B55" s="46">
        <f>=SUMIFS(Saisie!$G:$G,Saisie!$B:$B,$C$2,Saisie!$C:$C,$A55,Saisie!$D:$D,"don")</f>
      </c>
      <c r="C55" s="46">
        <f>=SUMIFS(Saisie!$G:$G,Saisie!$B:$B,$C$2,Saisie!$C:$C,$A55,Saisie!$D:$D,"subvention")</f>
      </c>
      <c r="D55" s="46">
        <f>=SUMIFS(Saisie!$G:$G,Saisie!$B:$B,$C$2,Saisie!$C:$C,$A55,Saisie!$D:$D,"prestation")</f>
      </c>
      <c r="E55" s="46">
        <f>=SUMIFS(Saisie!$G:$G,Saisie!$B:$B,$C$2,Saisie!$C:$C,$A55,Saisie!$D:$D,"autre")</f>
      </c>
      <c r="F55" s="46">
        <f>=SUMIFS(Saisie!$G:$G,Saisie!$B:$B,$C$2,Saisie!$C:$C,$A55,Saisie!$D:$D,"charge_deductible")</f>
      </c>
      <c r="G55" s="46">
        <f>=SUMIFS(Saisie!$G:$G,Saisie!$B:$B,$C$2,Saisie!$C:$C,$A55,Saisie!$D:$D,"charge_non_deductible")</f>
      </c>
      <c r="H55" s="38">
        <f>=D55+E55</f>
      </c>
      <c r="I55" s="38">
        <f>=H55-F55</f>
      </c>
      <c r="J55" s="50">
        <f>=IF(H55&gt;500000,5,IF(H55&gt;250000,4,IF(H55&gt;100000,3,IF(H55&gt;50000,2,IF(H55&gt;10000,1,0)))))</f>
      </c>
      <c r="K55" s="51">
        <f>=CHOOSE(J55+1,0,0.1,0.19,0.28,0.36,0.46)</f>
      </c>
      <c r="L55" s="52">
        <f>=MAX(0,I55*K55)</f>
      </c>
      <c r="M55" s="46">
        <f>=H55+C55</f>
      </c>
      <c r="N55" s="38">
        <f>=SUM(OFFSET($M$5,MAX(0,ROW()-8),0,MIN(4,ROW()-4),1))</f>
      </c>
      <c r="O55" s="53">
        <f>=IF(N55&gt;50000,"⚠ DÉPASSEMENT",IF(N55&gt;40000,"⚠ VIGILANCE","✓ OK"))</f>
      </c>
    </row>
    <row r="56" spans="1:15" x14ac:dyDescent="0.25">
      <c r="A56" s="50">
        <v>52</v>
      </c>
      <c r="B56" s="46">
        <f>=SUMIFS(Saisie!$G:$G,Saisie!$B:$B,$C$2,Saisie!$C:$C,$A56,Saisie!$D:$D,"don")</f>
      </c>
      <c r="C56" s="46">
        <f>=SUMIFS(Saisie!$G:$G,Saisie!$B:$B,$C$2,Saisie!$C:$C,$A56,Saisie!$D:$D,"subvention")</f>
      </c>
      <c r="D56" s="46">
        <f>=SUMIFS(Saisie!$G:$G,Saisie!$B:$B,$C$2,Saisie!$C:$C,$A56,Saisie!$D:$D,"prestation")</f>
      </c>
      <c r="E56" s="46">
        <f>=SUMIFS(Saisie!$G:$G,Saisie!$B:$B,$C$2,Saisie!$C:$C,$A56,Saisie!$D:$D,"autre")</f>
      </c>
      <c r="F56" s="46">
        <f>=SUMIFS(Saisie!$G:$G,Saisie!$B:$B,$C$2,Saisie!$C:$C,$A56,Saisie!$D:$D,"charge_deductible")</f>
      </c>
      <c r="G56" s="46">
        <f>=SUMIFS(Saisie!$G:$G,Saisie!$B:$B,$C$2,Saisie!$C:$C,$A56,Saisie!$D:$D,"charge_non_deductible")</f>
      </c>
      <c r="H56" s="38">
        <f>=D56+E56</f>
      </c>
      <c r="I56" s="38">
        <f>=H56-F56</f>
      </c>
      <c r="J56" s="50">
        <f>=IF(H56&gt;500000,5,IF(H56&gt;250000,4,IF(H56&gt;100000,3,IF(H56&gt;50000,2,IF(H56&gt;10000,1,0)))))</f>
      </c>
      <c r="K56" s="51">
        <f>=CHOOSE(J56+1,0,0.1,0.19,0.28,0.36,0.46)</f>
      </c>
      <c r="L56" s="52">
        <f>=MAX(0,I56*K56)</f>
      </c>
      <c r="M56" s="46">
        <f>=H56+C56</f>
      </c>
      <c r="N56" s="38">
        <f>=SUM(OFFSET($M$5,MAX(0,ROW()-8),0,MIN(4,ROW()-4),1))</f>
      </c>
      <c r="O56" s="53">
        <f>=IF(N56&gt;50000,"⚠ DÉPASSEMENT",IF(N56&gt;40000,"⚠ VIGILANCE","✓ OK"))</f>
      </c>
    </row>
    <row r="58" spans="1:13" x14ac:dyDescent="0.25">
      <c r="A58" s="54" t="s">
        <v>147</v>
      </c>
      <c r="B58" s="55">
        <f>=SUM(B5:B56)</f>
      </c>
      <c r="C58" s="55">
        <f>=SUM(C5:C56)</f>
      </c>
      <c r="D58" s="55">
        <f>=SUM(D5:D56)</f>
      </c>
      <c r="E58" s="55">
        <f>=SUM(E5:E56)</f>
      </c>
      <c r="F58" s="55">
        <f>=SUM(F5:F56)</f>
      </c>
      <c r="G58" s="55">
        <f>=SUM(G5:G56)</f>
      </c>
      <c r="H58" s="55">
        <f>=SUM(H5:H56)</f>
      </c>
      <c r="I58" s="55">
        <f>=SUM(I5:I56)</f>
      </c>
      <c r="L58" s="55">
        <f>=SUM(L5:L56)</f>
      </c>
      <c r="M58" s="55">
        <f>=SUM(M5:M56)</f>
      </c>
    </row>
  </sheetData>
  <mergeCells count="3">
    <mergeCell ref="A1:O1"/>
    <mergeCell ref="A2:B2"/>
    <mergeCell ref="D2:O2"/>
  </mergeCells>
  <conditionalFormatting sqref="O5:O56">
    <cfRule type="containsText" dxfId="9" priority="1">
      <formula>NOT(ISERROR(SEARCH("DÉPASSEMENT",O5)))</formula>
    </cfRule>
    <cfRule type="containsText" dxfId="10" priority="2">
      <formula>NOT(ISERROR(SEARCH("VIGILANCE",O5)))</formula>
    </cfRule>
    <cfRule type="containsText" dxfId="11" priority="3">
      <formula>NOT(ISERROR(SEARCH("OK",O5)))</formula>
    </cfRule>
  </conditionalFormatting>
  <conditionalFormatting sqref="N5:N56">
    <cfRule type="cellIs" dxfId="12" priority="4" operator="greaterThan">
      <formula>50000</formula>
    </cfRule>
    <cfRule type="cellIs" dxfId="13" priority="5" operator="between">
      <formula>40000</formula>
      <formula>50000</formula>
    </cfRule>
  </conditionalFormatting>
  <pageMargins left="0.5" right="0.5" top="0.5" bottom="0.5" header="0.3" footer="0.3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3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8" customWidth="1"/>
    <col min="3" max="3" width="90" customWidth="1"/>
    <col min="4" max="4" width="3" customWidth="1"/>
  </cols>
  <sheetData>
    <row r="2" ht="30" customHeight="1" spans="2:3" x14ac:dyDescent="0.25">
      <c r="B2" s="41" t="s">
        <v>148</v>
      </c>
      <c r="C2"/>
    </row>
    <row r="3" spans="2:3" x14ac:dyDescent="0.25">
      <c r="B3" s="2" t="s">
        <v>149</v>
      </c>
      <c r="C3"/>
    </row>
    <row r="5" ht="22" customHeight="1" spans="2:3" x14ac:dyDescent="0.25">
      <c r="B5" s="4" t="s">
        <v>150</v>
      </c>
      <c r="C5"/>
    </row>
    <row r="6" ht="26" customHeight="1" spans="2:3" x14ac:dyDescent="0.25">
      <c r="B6" s="56" t="s">
        <v>151</v>
      </c>
      <c r="C6" s="57" t="s">
        <v>152</v>
      </c>
    </row>
    <row r="7" ht="26" customHeight="1" spans="2:3" x14ac:dyDescent="0.25">
      <c r="B7" s="56" t="s">
        <v>153</v>
      </c>
      <c r="C7" s="57" t="s">
        <v>154</v>
      </c>
    </row>
    <row r="8" ht="26" customHeight="1" spans="2:3" x14ac:dyDescent="0.25">
      <c r="B8" s="56" t="s">
        <v>155</v>
      </c>
      <c r="C8" s="57" t="s">
        <v>156</v>
      </c>
    </row>
    <row r="9" ht="26" customHeight="1" spans="2:3" x14ac:dyDescent="0.25">
      <c r="B9" s="56" t="s">
        <v>157</v>
      </c>
      <c r="C9" s="57" t="s">
        <v>158</v>
      </c>
    </row>
    <row r="10" ht="26" customHeight="1" spans="2:3" x14ac:dyDescent="0.25">
      <c r="B10" s="56" t="s">
        <v>159</v>
      </c>
      <c r="C10" s="57" t="s">
        <v>160</v>
      </c>
    </row>
    <row r="11" ht="26" customHeight="1" spans="2:3" x14ac:dyDescent="0.25">
      <c r="B11" s="56" t="s">
        <v>161</v>
      </c>
      <c r="C11" s="57" t="s">
        <v>162</v>
      </c>
    </row>
    <row r="12" ht="26" customHeight="1" spans="2:3" x14ac:dyDescent="0.25">
      <c r="B12" s="56" t="s">
        <v>163</v>
      </c>
      <c r="C12" s="57" t="s">
        <v>164</v>
      </c>
    </row>
    <row r="14" ht="22" customHeight="1" spans="2:3" x14ac:dyDescent="0.25">
      <c r="B14" s="4" t="s">
        <v>165</v>
      </c>
      <c r="C14"/>
    </row>
    <row r="15" ht="26" customHeight="1" spans="2:3" x14ac:dyDescent="0.25">
      <c r="B15" s="56" t="s">
        <v>166</v>
      </c>
      <c r="C15" s="57" t="s">
        <v>167</v>
      </c>
    </row>
    <row r="16" ht="26" customHeight="1" spans="2:3" x14ac:dyDescent="0.25">
      <c r="B16" s="56" t="s">
        <v>168</v>
      </c>
      <c r="C16" s="57" t="s">
        <v>169</v>
      </c>
    </row>
    <row r="17" ht="26" customHeight="1" spans="2:3" x14ac:dyDescent="0.25">
      <c r="B17" s="56" t="s">
        <v>170</v>
      </c>
      <c r="C17" s="57" t="s">
        <v>171</v>
      </c>
    </row>
    <row r="18" ht="26" customHeight="1" spans="2:3" x14ac:dyDescent="0.25">
      <c r="B18" s="56" t="s">
        <v>172</v>
      </c>
      <c r="C18" s="57" t="s">
        <v>173</v>
      </c>
    </row>
    <row r="19" ht="26" customHeight="1" spans="2:3" x14ac:dyDescent="0.25">
      <c r="B19" s="56" t="s">
        <v>174</v>
      </c>
      <c r="C19" s="57" t="s">
        <v>175</v>
      </c>
    </row>
    <row r="20" ht="26" customHeight="1" spans="2:3" x14ac:dyDescent="0.25">
      <c r="B20" s="56" t="s">
        <v>176</v>
      </c>
      <c r="C20" s="57" t="s">
        <v>177</v>
      </c>
    </row>
    <row r="21" ht="26" customHeight="1" spans="2:3" x14ac:dyDescent="0.25">
      <c r="B21" s="56" t="s">
        <v>178</v>
      </c>
      <c r="C21" s="57" t="s">
        <v>179</v>
      </c>
    </row>
    <row r="22" ht="26" customHeight="1" spans="2:3" x14ac:dyDescent="0.25">
      <c r="B22" s="56" t="s">
        <v>180</v>
      </c>
      <c r="C22" s="57" t="s">
        <v>181</v>
      </c>
    </row>
    <row r="23" ht="26" customHeight="1" spans="2:3" x14ac:dyDescent="0.25">
      <c r="B23" s="56" t="s">
        <v>182</v>
      </c>
      <c r="C23" s="57" t="s">
        <v>183</v>
      </c>
    </row>
    <row r="25" ht="22" customHeight="1" spans="2:3" x14ac:dyDescent="0.25">
      <c r="B25" s="4" t="s">
        <v>184</v>
      </c>
      <c r="C25"/>
    </row>
    <row r="26" ht="26" customHeight="1" spans="2:3" x14ac:dyDescent="0.25">
      <c r="B26" s="56" t="s">
        <v>185</v>
      </c>
      <c r="C26" s="57" t="s">
        <v>186</v>
      </c>
    </row>
    <row r="27" ht="26" customHeight="1" spans="2:3" x14ac:dyDescent="0.25">
      <c r="B27" s="56" t="s">
        <v>187</v>
      </c>
      <c r="C27" s="57" t="s">
        <v>188</v>
      </c>
    </row>
    <row r="28" ht="26" customHeight="1" spans="2:3" x14ac:dyDescent="0.25">
      <c r="B28" s="56" t="s">
        <v>189</v>
      </c>
      <c r="C28" s="57" t="s">
        <v>190</v>
      </c>
    </row>
    <row r="29" ht="26" customHeight="1" spans="2:3" x14ac:dyDescent="0.25">
      <c r="B29" s="56" t="s">
        <v>191</v>
      </c>
      <c r="C29" s="57" t="s">
        <v>192</v>
      </c>
    </row>
    <row r="31" ht="22" customHeight="1" spans="2:3" x14ac:dyDescent="0.25">
      <c r="B31" s="4" t="s">
        <v>193</v>
      </c>
      <c r="C31"/>
    </row>
    <row r="32" ht="26" customHeight="1" spans="2:3" x14ac:dyDescent="0.25">
      <c r="B32" s="56" t="s">
        <v>194</v>
      </c>
      <c r="C32" s="57" t="s">
        <v>195</v>
      </c>
    </row>
    <row r="34" ht="22" customHeight="1" spans="2:3" x14ac:dyDescent="0.25">
      <c r="B34" s="4" t="s">
        <v>196</v>
      </c>
      <c r="C34"/>
    </row>
    <row r="35" ht="26" customHeight="1" spans="2:3" x14ac:dyDescent="0.25">
      <c r="B35" s="56" t="s">
        <v>197</v>
      </c>
      <c r="C35" s="57" t="s">
        <v>198</v>
      </c>
    </row>
    <row r="36" ht="26" customHeight="1" spans="2:3" x14ac:dyDescent="0.25">
      <c r="B36" s="56" t="s">
        <v>199</v>
      </c>
      <c r="C36" s="57" t="s">
        <v>200</v>
      </c>
    </row>
    <row r="37" ht="26" customHeight="1" spans="2:3" x14ac:dyDescent="0.25">
      <c r="B37" s="56" t="s">
        <v>201</v>
      </c>
      <c r="C37" s="57" t="s">
        <v>202</v>
      </c>
    </row>
    <row r="38" ht="26" customHeight="1" spans="2:3" x14ac:dyDescent="0.25">
      <c r="B38" s="56" t="s">
        <v>203</v>
      </c>
      <c r="C38" s="57" t="s">
        <v>204</v>
      </c>
    </row>
  </sheetData>
  <mergeCells count="7">
    <mergeCell ref="B2:C2"/>
    <mergeCell ref="B3:C3"/>
    <mergeCell ref="B5:C5"/>
    <mergeCell ref="B14:C14"/>
    <mergeCell ref="B25:C25"/>
    <mergeCell ref="B31:C31"/>
    <mergeCell ref="B34:C34"/>
  </mergeCells>
  <pageMargins left="0.5" right="0.5" top="0.5" bottom="0.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Tutoriel</vt:lpstr>
      <vt:lpstr>Tableau de bord</vt:lpstr>
      <vt:lpstr>Saisie</vt:lpstr>
      <vt:lpstr>Suivi hebdo</vt:lpstr>
      <vt:lpstr>Référence T.T.E.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 — Nouvelle Organisation Vie Associative</dc:creator>
  <dc:title/>
  <dc:subject/>
  <dc:description/>
  <cp:keywords/>
  <cp:category/>
  <cp:lastModifiedBy>NOVA</cp:lastModifiedBy>
  <dcterms:created xsi:type="dcterms:W3CDTF">2026-05-08T15:11:41Z</dcterms:created>
  <dcterms:modified xsi:type="dcterms:W3CDTF">2026-05-08T15:11:41Z</dcterms:modified>
</cp:coreProperties>
</file>